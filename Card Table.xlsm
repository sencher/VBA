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!Wot\"/>
    </mc:Choice>
  </mc:AlternateContent>
  <bookViews>
    <workbookView xWindow="0" yWindow="0" windowWidth="28800" windowHeight="12435"/>
  </bookViews>
  <sheets>
    <sheet name="Техника" sheetId="1" r:id="rId1"/>
    <sheet name="Лист1" sheetId="5" r:id="rId2"/>
    <sheet name="Feed" sheetId="3" r:id="rId3"/>
    <sheet name="Штабы" sheetId="2" r:id="rId4"/>
    <sheet name="Money" sheetId="4" r:id="rId5"/>
  </sheets>
  <functionGroups builtInGroupCount="18"/>
  <definedNames>
    <definedName name="_xlnm._FilterDatabase" localSheetId="0" hidden="1">Техника!$B$4:$X$120</definedName>
    <definedName name="_xlnm._FilterDatabase" localSheetId="3" hidden="1">Штабы!$A$2:$AT$2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P31" i="4"/>
  <c r="AB4" i="4"/>
  <c r="M27" i="4"/>
  <c r="M2" i="4"/>
  <c r="M3" i="4"/>
  <c r="M4" i="4"/>
  <c r="M5" i="4"/>
  <c r="M6" i="4"/>
  <c r="M7" i="4"/>
  <c r="M8" i="4"/>
  <c r="M9" i="4"/>
  <c r="F3" i="4"/>
  <c r="F4" i="4"/>
  <c r="F5" i="4"/>
  <c r="F6" i="4"/>
  <c r="F7" i="4"/>
  <c r="F8" i="4"/>
  <c r="F9" i="4"/>
  <c r="F2" i="4"/>
  <c r="N17" i="1" l="1"/>
  <c r="N30" i="1"/>
  <c r="N31" i="1"/>
  <c r="N88" i="1"/>
  <c r="N32" i="1"/>
  <c r="N34" i="1"/>
  <c r="N78" i="1"/>
  <c r="N75" i="1"/>
  <c r="N76" i="1"/>
  <c r="N57" i="1"/>
  <c r="N81" i="1"/>
  <c r="N58" i="1"/>
  <c r="N33" i="1"/>
  <c r="N73" i="1"/>
  <c r="N84" i="1"/>
  <c r="N9" i="1"/>
  <c r="N10" i="1"/>
  <c r="N19" i="1"/>
  <c r="N24" i="1"/>
  <c r="N36" i="1"/>
  <c r="N85" i="1"/>
  <c r="N18" i="1"/>
  <c r="N44" i="1"/>
  <c r="N49" i="1"/>
  <c r="N93" i="1"/>
  <c r="N59" i="1"/>
  <c r="N55" i="1"/>
  <c r="N60" i="1"/>
  <c r="N62" i="1"/>
  <c r="N71" i="1"/>
  <c r="N8" i="1"/>
  <c r="N79" i="1"/>
  <c r="N72" i="1"/>
  <c r="N74" i="1"/>
  <c r="N94" i="1"/>
  <c r="N80" i="1"/>
  <c r="N91" i="1"/>
  <c r="N39" i="1"/>
  <c r="N46" i="1"/>
  <c r="N35" i="1"/>
  <c r="N87" i="1"/>
  <c r="N70" i="1"/>
  <c r="N83" i="1"/>
  <c r="N92" i="1"/>
  <c r="N23" i="1"/>
  <c r="N42" i="1"/>
  <c r="N22" i="1"/>
  <c r="N43" i="1"/>
  <c r="N82" i="1"/>
  <c r="N50" i="1"/>
  <c r="N56" i="1"/>
  <c r="N28" i="1"/>
  <c r="N107" i="1"/>
  <c r="N100" i="1"/>
  <c r="N51" i="1"/>
  <c r="N109" i="1"/>
  <c r="N112" i="1"/>
  <c r="N45" i="1"/>
  <c r="N48" i="1"/>
  <c r="N64" i="1"/>
  <c r="N63" i="1"/>
  <c r="N66" i="1"/>
  <c r="N65" i="1"/>
  <c r="N67" i="1"/>
  <c r="N37" i="1"/>
  <c r="N99" i="1"/>
  <c r="N98" i="1"/>
  <c r="N95" i="1"/>
  <c r="N96" i="1"/>
  <c r="N116" i="1"/>
  <c r="N89" i="1"/>
  <c r="N27" i="1"/>
  <c r="N21" i="1"/>
  <c r="N120" i="1"/>
  <c r="N6" i="1"/>
  <c r="N7" i="1"/>
  <c r="N117" i="1"/>
  <c r="N14" i="1"/>
  <c r="N13" i="1"/>
  <c r="N12" i="1"/>
  <c r="N15" i="1"/>
  <c r="N11" i="1"/>
  <c r="N16" i="1"/>
  <c r="N115" i="1"/>
  <c r="N86" i="1"/>
  <c r="N25" i="1"/>
  <c r="N26" i="1"/>
  <c r="N38" i="1"/>
  <c r="N47" i="1"/>
  <c r="N110" i="1"/>
  <c r="N105" i="1"/>
  <c r="N104" i="1"/>
  <c r="N61" i="1"/>
  <c r="N20" i="1"/>
  <c r="N40" i="1"/>
  <c r="N29" i="1"/>
  <c r="N106" i="1"/>
  <c r="N103" i="1"/>
  <c r="N77" i="1"/>
  <c r="N52" i="1"/>
  <c r="N53" i="1"/>
  <c r="N41" i="1"/>
  <c r="N101" i="1"/>
  <c r="N54" i="1"/>
  <c r="N90" i="1"/>
  <c r="N68" i="1"/>
  <c r="N69" i="1"/>
  <c r="N97" i="1"/>
  <c r="N118" i="1"/>
  <c r="N111" i="1"/>
  <c r="N114" i="1"/>
  <c r="N113" i="1"/>
  <c r="N108" i="1"/>
  <c r="N102" i="1"/>
  <c r="N119" i="1"/>
  <c r="N5" i="1"/>
  <c r="O6" i="1"/>
  <c r="P6" i="1" s="1"/>
  <c r="O7" i="1"/>
  <c r="P7" i="1" s="1"/>
  <c r="O117" i="1"/>
  <c r="P117" i="1" s="1"/>
  <c r="O14" i="1"/>
  <c r="P14" i="1" s="1"/>
  <c r="O13" i="1"/>
  <c r="P13" i="1" s="1"/>
  <c r="O34" i="1"/>
  <c r="P34" i="1" s="1"/>
  <c r="O9" i="1"/>
  <c r="P9" i="1" s="1"/>
  <c r="O12" i="1"/>
  <c r="P12" i="1" s="1"/>
  <c r="O15" i="1"/>
  <c r="P15" i="1" s="1"/>
  <c r="O11" i="1"/>
  <c r="P11" i="1" s="1"/>
  <c r="O16" i="1"/>
  <c r="P16" i="1" s="1"/>
  <c r="O23" i="1"/>
  <c r="P23" i="1" s="1"/>
  <c r="O115" i="1"/>
  <c r="P115" i="1" s="1"/>
  <c r="O118" i="1"/>
  <c r="P118" i="1" s="1"/>
  <c r="O42" i="1"/>
  <c r="P42" i="1" s="1"/>
  <c r="O10" i="1"/>
  <c r="P10" i="1" s="1"/>
  <c r="O19" i="1"/>
  <c r="P19" i="1" s="1"/>
  <c r="O22" i="1"/>
  <c r="P22" i="1" s="1"/>
  <c r="O24" i="1"/>
  <c r="P24" i="1" s="1"/>
  <c r="O36" i="1"/>
  <c r="P36" i="1" s="1"/>
  <c r="O85" i="1"/>
  <c r="P85" i="1" s="1"/>
  <c r="O86" i="1"/>
  <c r="P86" i="1" s="1"/>
  <c r="O25" i="1"/>
  <c r="P25" i="1" s="1"/>
  <c r="O26" i="1"/>
  <c r="P26" i="1" s="1"/>
  <c r="O43" i="1"/>
  <c r="P43" i="1" s="1"/>
  <c r="O17" i="1"/>
  <c r="P17" i="1" s="1"/>
  <c r="O82" i="1"/>
  <c r="P82" i="1" s="1"/>
  <c r="O38" i="1"/>
  <c r="P38" i="1" s="1"/>
  <c r="O18" i="1"/>
  <c r="P18" i="1" s="1"/>
  <c r="O44" i="1"/>
  <c r="P44" i="1" s="1"/>
  <c r="O49" i="1"/>
  <c r="P49" i="1" s="1"/>
  <c r="O78" i="1"/>
  <c r="P78" i="1" s="1"/>
  <c r="O93" i="1"/>
  <c r="P93" i="1" s="1"/>
  <c r="O50" i="1"/>
  <c r="P50" i="1" s="1"/>
  <c r="O47" i="1"/>
  <c r="P47" i="1" s="1"/>
  <c r="O56" i="1"/>
  <c r="P56" i="1" s="1"/>
  <c r="O28" i="1"/>
  <c r="P28" i="1" s="1"/>
  <c r="O107" i="1"/>
  <c r="P107" i="1" s="1"/>
  <c r="O59" i="1"/>
  <c r="P59" i="1" s="1"/>
  <c r="O100" i="1"/>
  <c r="P100" i="1" s="1"/>
  <c r="O75" i="1"/>
  <c r="P75" i="1" s="1"/>
  <c r="O110" i="1"/>
  <c r="P110" i="1" s="1"/>
  <c r="O51" i="1"/>
  <c r="P51" i="1" s="1"/>
  <c r="O111" i="1"/>
  <c r="P111" i="1" s="1"/>
  <c r="O55" i="1"/>
  <c r="P55" i="1" s="1"/>
  <c r="O109" i="1"/>
  <c r="P109" i="1" s="1"/>
  <c r="O60" i="1"/>
  <c r="P60" i="1" s="1"/>
  <c r="O105" i="1"/>
  <c r="P105" i="1" s="1"/>
  <c r="O62" i="1"/>
  <c r="P62" i="1" s="1"/>
  <c r="O104" i="1"/>
  <c r="P104" i="1" s="1"/>
  <c r="O112" i="1"/>
  <c r="P112" i="1" s="1"/>
  <c r="O76" i="1"/>
  <c r="P76" i="1" s="1"/>
  <c r="O71" i="1"/>
  <c r="P71" i="1" s="1"/>
  <c r="O61" i="1"/>
  <c r="P61" i="1" s="1"/>
  <c r="O45" i="1"/>
  <c r="P45" i="1" s="1"/>
  <c r="O48" i="1"/>
  <c r="P48" i="1" s="1"/>
  <c r="O20" i="1"/>
  <c r="P20" i="1" s="1"/>
  <c r="O30" i="1"/>
  <c r="P30" i="1" s="1"/>
  <c r="O31" i="1"/>
  <c r="P31" i="1" s="1"/>
  <c r="O8" i="1"/>
  <c r="P8" i="1" s="1"/>
  <c r="O5" i="1"/>
  <c r="P5" i="1" s="1"/>
  <c r="O57" i="1"/>
  <c r="P57" i="1" s="1"/>
  <c r="O64" i="1"/>
  <c r="P64" i="1" s="1"/>
  <c r="O79" i="1"/>
  <c r="P79" i="1" s="1"/>
  <c r="O72" i="1"/>
  <c r="P72" i="1" s="1"/>
  <c r="O74" i="1"/>
  <c r="P74" i="1" s="1"/>
  <c r="O94" i="1"/>
  <c r="P94" i="1" s="1"/>
  <c r="O80" i="1"/>
  <c r="P80" i="1" s="1"/>
  <c r="O81" i="1"/>
  <c r="P81" i="1" s="1"/>
  <c r="O91" i="1"/>
  <c r="P91" i="1" s="1"/>
  <c r="O40" i="1"/>
  <c r="P40" i="1" s="1"/>
  <c r="O29" i="1"/>
  <c r="P29" i="1" s="1"/>
  <c r="O63" i="1"/>
  <c r="P63" i="1" s="1"/>
  <c r="O39" i="1"/>
  <c r="P39" i="1" s="1"/>
  <c r="O66" i="1"/>
  <c r="P66" i="1" s="1"/>
  <c r="O65" i="1"/>
  <c r="P65" i="1" s="1"/>
  <c r="O67" i="1"/>
  <c r="P67" i="1" s="1"/>
  <c r="O88" i="1"/>
  <c r="P88" i="1" s="1"/>
  <c r="O37" i="1"/>
  <c r="P37" i="1" s="1"/>
  <c r="O58" i="1"/>
  <c r="P58" i="1" s="1"/>
  <c r="O33" i="1"/>
  <c r="P33" i="1" s="1"/>
  <c r="O46" i="1"/>
  <c r="P46" i="1" s="1"/>
  <c r="O73" i="1"/>
  <c r="P73" i="1" s="1"/>
  <c r="O35" i="1"/>
  <c r="P35" i="1" s="1"/>
  <c r="O87" i="1"/>
  <c r="P87" i="1" s="1"/>
  <c r="O106" i="1"/>
  <c r="P106" i="1" s="1"/>
  <c r="O32" i="1"/>
  <c r="P32" i="1" s="1"/>
  <c r="O99" i="1"/>
  <c r="P99" i="1" s="1"/>
  <c r="O103" i="1"/>
  <c r="P103" i="1" s="1"/>
  <c r="O98" i="1"/>
  <c r="P98" i="1" s="1"/>
  <c r="O77" i="1"/>
  <c r="P77" i="1" s="1"/>
  <c r="O84" i="1"/>
  <c r="P84" i="1" s="1"/>
  <c r="O95" i="1"/>
  <c r="P95" i="1" s="1"/>
  <c r="O96" i="1"/>
  <c r="P96" i="1" s="1"/>
  <c r="O116" i="1"/>
  <c r="P116" i="1" s="1"/>
  <c r="O52" i="1"/>
  <c r="P52" i="1" s="1"/>
  <c r="O53" i="1"/>
  <c r="P53" i="1" s="1"/>
  <c r="O41" i="1"/>
  <c r="P41" i="1" s="1"/>
  <c r="O89" i="1"/>
  <c r="P89" i="1" s="1"/>
  <c r="O101" i="1"/>
  <c r="P101" i="1" s="1"/>
  <c r="O27" i="1"/>
  <c r="P27" i="1" s="1"/>
  <c r="O54" i="1"/>
  <c r="P54" i="1" s="1"/>
  <c r="O114" i="1"/>
  <c r="P114" i="1" s="1"/>
  <c r="O90" i="1"/>
  <c r="P90" i="1" s="1"/>
  <c r="O70" i="1"/>
  <c r="P70" i="1" s="1"/>
  <c r="O68" i="1"/>
  <c r="P68" i="1" s="1"/>
  <c r="O83" i="1"/>
  <c r="P83" i="1" s="1"/>
  <c r="O113" i="1"/>
  <c r="P113" i="1" s="1"/>
  <c r="O69" i="1"/>
  <c r="P69" i="1" s="1"/>
  <c r="O97" i="1"/>
  <c r="P97" i="1" s="1"/>
  <c r="O21" i="1"/>
  <c r="P21" i="1" s="1"/>
  <c r="O92" i="1"/>
  <c r="P92" i="1" s="1"/>
  <c r="O108" i="1"/>
  <c r="P108" i="1" s="1"/>
  <c r="O102" i="1"/>
  <c r="P102" i="1" s="1"/>
  <c r="O119" i="1"/>
  <c r="P119" i="1" s="1"/>
  <c r="O120" i="1"/>
  <c r="P120" i="1" s="1"/>
  <c r="AT8" i="2" l="1"/>
  <c r="AT9" i="2"/>
  <c r="AT10" i="2"/>
  <c r="AT11" i="2"/>
  <c r="AT12" i="2"/>
  <c r="AT14" i="2"/>
  <c r="AT15" i="2"/>
  <c r="AT16" i="2"/>
  <c r="AT17" i="2"/>
  <c r="AT18" i="2"/>
  <c r="AT19" i="2"/>
  <c r="AT20" i="2"/>
  <c r="AT22" i="2"/>
  <c r="AT23" i="2"/>
  <c r="AT24" i="2"/>
  <c r="AT25" i="2"/>
  <c r="E42" i="3" l="1"/>
  <c r="E41" i="3"/>
  <c r="E23" i="3" l="1"/>
  <c r="AE56" i="3" l="1"/>
  <c r="AE50" i="3"/>
  <c r="AE49" i="3"/>
  <c r="AA46" i="3"/>
  <c r="W117" i="3"/>
  <c r="W83" i="3"/>
  <c r="W64" i="3"/>
  <c r="U52" i="3"/>
  <c r="U53" i="3"/>
  <c r="U54" i="3"/>
  <c r="U55" i="3"/>
  <c r="W55" i="3" s="1"/>
  <c r="U49" i="3"/>
  <c r="W49" i="3" s="1"/>
  <c r="U50" i="3"/>
  <c r="U51" i="3"/>
  <c r="U48" i="3"/>
  <c r="T51" i="3"/>
  <c r="T117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93" i="3"/>
  <c r="T94" i="3"/>
  <c r="T95" i="3"/>
  <c r="T9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49" i="3"/>
  <c r="T50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48" i="3"/>
  <c r="E48" i="3" l="1"/>
  <c r="E47" i="3"/>
  <c r="E46" i="3"/>
  <c r="E39" i="3"/>
  <c r="E29" i="3"/>
  <c r="M117" i="1"/>
  <c r="M86" i="1"/>
  <c r="M120" i="1"/>
  <c r="M6" i="1"/>
  <c r="M7" i="1"/>
  <c r="M115" i="1"/>
  <c r="M118" i="1"/>
  <c r="M34" i="1"/>
  <c r="M19" i="1"/>
  <c r="M24" i="1"/>
  <c r="M112" i="1"/>
  <c r="M36" i="1"/>
  <c r="M85" i="1"/>
  <c r="M109" i="1"/>
  <c r="M116" i="1"/>
  <c r="M82" i="1"/>
  <c r="M23" i="1"/>
  <c r="M22" i="1"/>
  <c r="M57" i="1"/>
  <c r="M110" i="1"/>
  <c r="M58" i="1"/>
  <c r="M28" i="1"/>
  <c r="M44" i="1"/>
  <c r="M49" i="1"/>
  <c r="M88" i="1"/>
  <c r="M100" i="1"/>
  <c r="M55" i="1"/>
  <c r="M94" i="1"/>
  <c r="M73" i="1"/>
  <c r="M75" i="1"/>
  <c r="M14" i="1"/>
  <c r="M13" i="1"/>
  <c r="M12" i="1"/>
  <c r="M15" i="1"/>
  <c r="M11" i="1"/>
  <c r="M16" i="1"/>
  <c r="M50" i="1"/>
  <c r="M76" i="1"/>
  <c r="M42" i="1"/>
  <c r="M56" i="1"/>
  <c r="M9" i="1"/>
  <c r="M91" i="1"/>
  <c r="M10" i="1"/>
  <c r="M93" i="1"/>
  <c r="M107" i="1"/>
  <c r="M61" i="1"/>
  <c r="M60" i="1"/>
  <c r="M78" i="1"/>
  <c r="M59" i="1"/>
  <c r="M62" i="1"/>
  <c r="M98" i="1"/>
  <c r="M46" i="1"/>
  <c r="M106" i="1"/>
  <c r="M105" i="1"/>
  <c r="M32" i="1"/>
  <c r="M99" i="1"/>
  <c r="M103" i="1"/>
  <c r="M92" i="1"/>
  <c r="M77" i="1"/>
  <c r="M81" i="1"/>
  <c r="M70" i="1"/>
  <c r="M71" i="1"/>
  <c r="M17" i="1"/>
  <c r="M95" i="1"/>
  <c r="M72" i="1"/>
  <c r="M74" i="1"/>
  <c r="M96" i="1"/>
  <c r="M5" i="1"/>
  <c r="M43" i="1"/>
  <c r="M45" i="1"/>
  <c r="M48" i="1"/>
  <c r="M18" i="1"/>
  <c r="M51" i="1"/>
  <c r="M84" i="1"/>
  <c r="M101" i="1"/>
  <c r="M8" i="1"/>
  <c r="M79" i="1"/>
  <c r="M80" i="1"/>
  <c r="M35" i="1"/>
  <c r="M27" i="1"/>
  <c r="M104" i="1"/>
  <c r="M25" i="1"/>
  <c r="M26" i="1"/>
  <c r="M89" i="1"/>
  <c r="M111" i="1"/>
  <c r="M87" i="1"/>
  <c r="M33" i="1"/>
  <c r="M63" i="1"/>
  <c r="M20" i="1"/>
  <c r="M113" i="1"/>
  <c r="M83" i="1"/>
  <c r="M29" i="1"/>
  <c r="M64" i="1"/>
  <c r="M114" i="1"/>
  <c r="M66" i="1"/>
  <c r="M65" i="1"/>
  <c r="M67" i="1"/>
  <c r="M119" i="1"/>
  <c r="M30" i="1"/>
  <c r="M31" i="1"/>
  <c r="M39" i="1"/>
  <c r="M97" i="1"/>
  <c r="M90" i="1"/>
  <c r="M38" i="1"/>
  <c r="M40" i="1"/>
  <c r="M41" i="1"/>
  <c r="M108" i="1"/>
  <c r="M37" i="1"/>
  <c r="M47" i="1"/>
  <c r="M52" i="1"/>
  <c r="M53" i="1"/>
  <c r="M54" i="1"/>
  <c r="M102" i="1"/>
  <c r="M21" i="1"/>
  <c r="M68" i="1"/>
  <c r="M69" i="1"/>
  <c r="L106" i="1"/>
  <c r="L105" i="1"/>
  <c r="L32" i="1"/>
  <c r="L99" i="1"/>
  <c r="L103" i="1"/>
  <c r="L92" i="1"/>
  <c r="L77" i="1"/>
  <c r="L81" i="1"/>
  <c r="L70" i="1"/>
  <c r="L71" i="1"/>
  <c r="L17" i="1"/>
  <c r="L95" i="1"/>
  <c r="L72" i="1"/>
  <c r="L74" i="1"/>
  <c r="L96" i="1"/>
  <c r="L5" i="1"/>
  <c r="L43" i="1"/>
  <c r="L45" i="1"/>
  <c r="L48" i="1"/>
  <c r="L18" i="1"/>
  <c r="L51" i="1"/>
  <c r="L84" i="1"/>
  <c r="L101" i="1"/>
  <c r="L8" i="1"/>
  <c r="L79" i="1"/>
  <c r="L80" i="1"/>
  <c r="L35" i="1"/>
  <c r="L27" i="1"/>
  <c r="L104" i="1"/>
  <c r="L25" i="1"/>
  <c r="L26" i="1"/>
  <c r="L89" i="1"/>
  <c r="L111" i="1"/>
  <c r="L87" i="1"/>
  <c r="L33" i="1"/>
  <c r="L63" i="1"/>
  <c r="L20" i="1"/>
  <c r="L113" i="1"/>
  <c r="L83" i="1"/>
  <c r="L29" i="1"/>
  <c r="L64" i="1"/>
  <c r="L114" i="1"/>
  <c r="L66" i="1"/>
  <c r="L65" i="1"/>
  <c r="L67" i="1"/>
  <c r="L119" i="1"/>
  <c r="L30" i="1"/>
  <c r="L31" i="1"/>
  <c r="L39" i="1"/>
  <c r="L97" i="1"/>
  <c r="L90" i="1"/>
  <c r="L38" i="1"/>
  <c r="L40" i="1"/>
  <c r="L41" i="1"/>
  <c r="L108" i="1"/>
  <c r="L37" i="1"/>
  <c r="L47" i="1"/>
  <c r="L52" i="1"/>
  <c r="L53" i="1"/>
  <c r="L54" i="1"/>
  <c r="L102" i="1"/>
  <c r="L21" i="1"/>
  <c r="L68" i="1"/>
  <c r="L69" i="1"/>
  <c r="L12" i="1"/>
  <c r="L15" i="1"/>
  <c r="L11" i="1"/>
  <c r="L16" i="1"/>
  <c r="L50" i="1"/>
  <c r="L76" i="1"/>
  <c r="L42" i="1"/>
  <c r="L56" i="1"/>
  <c r="L9" i="1"/>
  <c r="L91" i="1"/>
  <c r="L10" i="1"/>
  <c r="L93" i="1"/>
  <c r="L107" i="1"/>
  <c r="L61" i="1"/>
  <c r="L60" i="1"/>
  <c r="L78" i="1"/>
  <c r="L59" i="1"/>
  <c r="L62" i="1"/>
  <c r="L98" i="1"/>
  <c r="L46" i="1"/>
  <c r="L86" i="1"/>
  <c r="L120" i="1"/>
  <c r="L6" i="1"/>
  <c r="L7" i="1"/>
  <c r="L115" i="1"/>
  <c r="L118" i="1"/>
  <c r="L34" i="1"/>
  <c r="L19" i="1"/>
  <c r="L24" i="1"/>
  <c r="L112" i="1"/>
  <c r="L36" i="1"/>
  <c r="L85" i="1"/>
  <c r="L109" i="1"/>
  <c r="L116" i="1"/>
  <c r="L82" i="1"/>
  <c r="L23" i="1"/>
  <c r="L22" i="1"/>
  <c r="L57" i="1"/>
  <c r="L110" i="1"/>
  <c r="L58" i="1"/>
  <c r="L28" i="1"/>
  <c r="L44" i="1"/>
  <c r="L49" i="1"/>
  <c r="L88" i="1"/>
  <c r="L100" i="1"/>
  <c r="L55" i="1"/>
  <c r="L94" i="1"/>
  <c r="L73" i="1"/>
  <c r="L75" i="1"/>
  <c r="L14" i="1"/>
  <c r="L13" i="1"/>
  <c r="L117" i="1"/>
  <c r="K117" i="1"/>
  <c r="K86" i="1"/>
  <c r="K120" i="1"/>
  <c r="K6" i="1"/>
  <c r="K7" i="1"/>
  <c r="K115" i="1"/>
  <c r="K118" i="1"/>
  <c r="K34" i="1"/>
  <c r="K19" i="1"/>
  <c r="K24" i="1"/>
  <c r="K112" i="1"/>
  <c r="K36" i="1"/>
  <c r="K85" i="1"/>
  <c r="K109" i="1"/>
  <c r="K116" i="1"/>
  <c r="K82" i="1"/>
  <c r="K23" i="1"/>
  <c r="K22" i="1"/>
  <c r="K57" i="1"/>
  <c r="K110" i="1"/>
  <c r="K58" i="1"/>
  <c r="K28" i="1"/>
  <c r="K44" i="1"/>
  <c r="K49" i="1"/>
  <c r="K88" i="1"/>
  <c r="K100" i="1"/>
  <c r="K55" i="1"/>
  <c r="K94" i="1"/>
  <c r="K73" i="1"/>
  <c r="K75" i="1"/>
  <c r="K14" i="1"/>
  <c r="K13" i="1"/>
  <c r="K12" i="1"/>
  <c r="Q12" i="1" s="1"/>
  <c r="K15" i="1"/>
  <c r="K11" i="1"/>
  <c r="K16" i="1"/>
  <c r="Q16" i="1" s="1"/>
  <c r="K50" i="1"/>
  <c r="Q50" i="1" s="1"/>
  <c r="K76" i="1"/>
  <c r="Q76" i="1" s="1"/>
  <c r="K42" i="1"/>
  <c r="K56" i="1"/>
  <c r="K9" i="1"/>
  <c r="Q9" i="1" s="1"/>
  <c r="K91" i="1"/>
  <c r="K10" i="1"/>
  <c r="Q10" i="1" s="1"/>
  <c r="K93" i="1"/>
  <c r="Q93" i="1" s="1"/>
  <c r="K107" i="1"/>
  <c r="Q107" i="1" s="1"/>
  <c r="K61" i="1"/>
  <c r="Q61" i="1" s="1"/>
  <c r="K60" i="1"/>
  <c r="K78" i="1"/>
  <c r="Q78" i="1" s="1"/>
  <c r="K59" i="1"/>
  <c r="Q59" i="1" s="1"/>
  <c r="K62" i="1"/>
  <c r="K98" i="1"/>
  <c r="Q98" i="1" s="1"/>
  <c r="K46" i="1"/>
  <c r="Q46" i="1" s="1"/>
  <c r="K106" i="1"/>
  <c r="Q106" i="1" s="1"/>
  <c r="K105" i="1"/>
  <c r="Q105" i="1" s="1"/>
  <c r="K32" i="1"/>
  <c r="K99" i="1"/>
  <c r="Q99" i="1" s="1"/>
  <c r="K103" i="1"/>
  <c r="Q103" i="1" s="1"/>
  <c r="K92" i="1"/>
  <c r="Q92" i="1" s="1"/>
  <c r="K77" i="1"/>
  <c r="Q77" i="1" s="1"/>
  <c r="K81" i="1"/>
  <c r="Q81" i="1" s="1"/>
  <c r="K70" i="1"/>
  <c r="Q70" i="1" s="1"/>
  <c r="K71" i="1"/>
  <c r="Q71" i="1" s="1"/>
  <c r="K17" i="1"/>
  <c r="Q17" i="1" s="1"/>
  <c r="K95" i="1"/>
  <c r="Q95" i="1" s="1"/>
  <c r="K72" i="1"/>
  <c r="Q72" i="1" s="1"/>
  <c r="K74" i="1"/>
  <c r="K96" i="1"/>
  <c r="Q96" i="1" s="1"/>
  <c r="K5" i="1"/>
  <c r="Q5" i="1" s="1"/>
  <c r="K43" i="1"/>
  <c r="Q43" i="1" s="1"/>
  <c r="K45" i="1"/>
  <c r="Q45" i="1" s="1"/>
  <c r="K48" i="1"/>
  <c r="K18" i="1"/>
  <c r="Q18" i="1" s="1"/>
  <c r="K51" i="1"/>
  <c r="Q51" i="1" s="1"/>
  <c r="K84" i="1"/>
  <c r="K101" i="1"/>
  <c r="Q101" i="1" s="1"/>
  <c r="K8" i="1"/>
  <c r="Q8" i="1" s="1"/>
  <c r="K79" i="1"/>
  <c r="Q79" i="1" s="1"/>
  <c r="K80" i="1"/>
  <c r="K35" i="1"/>
  <c r="Q35" i="1" s="1"/>
  <c r="K27" i="1"/>
  <c r="Q27" i="1" s="1"/>
  <c r="K104" i="1"/>
  <c r="Q104" i="1" s="1"/>
  <c r="K25" i="1"/>
  <c r="Q25" i="1" s="1"/>
  <c r="K26" i="1"/>
  <c r="Q26" i="1" s="1"/>
  <c r="K89" i="1"/>
  <c r="Q89" i="1" s="1"/>
  <c r="K111" i="1"/>
  <c r="Q111" i="1" s="1"/>
  <c r="K87" i="1"/>
  <c r="Q87" i="1" s="1"/>
  <c r="K33" i="1"/>
  <c r="Q33" i="1" s="1"/>
  <c r="K63" i="1"/>
  <c r="Q63" i="1" s="1"/>
  <c r="K20" i="1"/>
  <c r="Q20" i="1" s="1"/>
  <c r="K113" i="1"/>
  <c r="Q113" i="1" s="1"/>
  <c r="K83" i="1"/>
  <c r="Q83" i="1" s="1"/>
  <c r="K29" i="1"/>
  <c r="Q29" i="1" s="1"/>
  <c r="K64" i="1"/>
  <c r="Q64" i="1" s="1"/>
  <c r="K114" i="1"/>
  <c r="Q114" i="1" s="1"/>
  <c r="K66" i="1"/>
  <c r="Q66" i="1" s="1"/>
  <c r="K65" i="1"/>
  <c r="Q65" i="1" s="1"/>
  <c r="K67" i="1"/>
  <c r="K119" i="1"/>
  <c r="Q119" i="1" s="1"/>
  <c r="K30" i="1"/>
  <c r="Q30" i="1" s="1"/>
  <c r="K31" i="1"/>
  <c r="Q31" i="1" s="1"/>
  <c r="K39" i="1"/>
  <c r="Q39" i="1" s="1"/>
  <c r="K97" i="1"/>
  <c r="K90" i="1"/>
  <c r="Q90" i="1" s="1"/>
  <c r="K38" i="1"/>
  <c r="Q38" i="1" s="1"/>
  <c r="K40" i="1"/>
  <c r="Q40" i="1" s="1"/>
  <c r="K41" i="1"/>
  <c r="Q41" i="1" s="1"/>
  <c r="K108" i="1"/>
  <c r="Q108" i="1" s="1"/>
  <c r="K37" i="1"/>
  <c r="Q37" i="1" s="1"/>
  <c r="K47" i="1"/>
  <c r="Q47" i="1" s="1"/>
  <c r="K52" i="1"/>
  <c r="Q52" i="1" s="1"/>
  <c r="K53" i="1"/>
  <c r="Q53" i="1" s="1"/>
  <c r="K54" i="1"/>
  <c r="Q54" i="1" s="1"/>
  <c r="K102" i="1"/>
  <c r="Q102" i="1" s="1"/>
  <c r="K21" i="1"/>
  <c r="Q21" i="1" s="1"/>
  <c r="K68" i="1"/>
  <c r="Q68" i="1" s="1"/>
  <c r="K69" i="1"/>
  <c r="Q69" i="1" s="1"/>
  <c r="Q74" i="1" l="1"/>
  <c r="Q67" i="1"/>
  <c r="Q56" i="1"/>
  <c r="Q48" i="1"/>
  <c r="Q32" i="1"/>
  <c r="Q91" i="1"/>
  <c r="Q62" i="1"/>
  <c r="Q11" i="1"/>
  <c r="Q60" i="1"/>
  <c r="Q97" i="1"/>
  <c r="Q84" i="1"/>
  <c r="Q80" i="1"/>
  <c r="Q15" i="1"/>
  <c r="Q42" i="1"/>
  <c r="Q13" i="1"/>
  <c r="Q94" i="1"/>
  <c r="Q49" i="1"/>
  <c r="Q110" i="1"/>
  <c r="Q82" i="1"/>
  <c r="Q36" i="1"/>
  <c r="Q34" i="1"/>
  <c r="Q6" i="1"/>
  <c r="Q75" i="1"/>
  <c r="Q100" i="1"/>
  <c r="Q28" i="1"/>
  <c r="Q22" i="1"/>
  <c r="Q109" i="1"/>
  <c r="Q24" i="1"/>
  <c r="Q115" i="1"/>
  <c r="Q86" i="1"/>
  <c r="Q14" i="1"/>
  <c r="Q55" i="1"/>
  <c r="Q44" i="1"/>
  <c r="Q57" i="1"/>
  <c r="Q116" i="1"/>
  <c r="Q112" i="1"/>
  <c r="Q118" i="1"/>
  <c r="Q120" i="1"/>
  <c r="Q73" i="1"/>
  <c r="Q88" i="1"/>
  <c r="Q58" i="1"/>
  <c r="Q23" i="1"/>
  <c r="Q85" i="1"/>
  <c r="Q19" i="1"/>
  <c r="Q7" i="1"/>
  <c r="Q117" i="1"/>
  <c r="E36" i="3"/>
  <c r="E17" i="3"/>
  <c r="E37" i="3"/>
  <c r="E35" i="3"/>
  <c r="E34" i="3"/>
  <c r="E18" i="3"/>
  <c r="E33" i="3"/>
  <c r="E32" i="3"/>
  <c r="W32" i="3" l="1"/>
  <c r="W33" i="3"/>
  <c r="W34" i="3"/>
  <c r="W35" i="3"/>
  <c r="W29" i="3" l="1"/>
  <c r="W30" i="3"/>
  <c r="W31" i="3"/>
  <c r="W28" i="3"/>
  <c r="W27" i="3"/>
  <c r="E24" i="3"/>
  <c r="E45" i="3"/>
  <c r="E21" i="3"/>
  <c r="E20" i="3"/>
  <c r="E44" i="3" l="1"/>
  <c r="E22" i="3" l="1"/>
  <c r="AT4" i="2" l="1"/>
  <c r="AT5" i="2"/>
  <c r="AT32" i="2"/>
  <c r="AT6" i="2"/>
  <c r="AT7" i="2"/>
  <c r="AT33" i="2"/>
  <c r="AT26" i="2"/>
  <c r="AT28" i="2"/>
  <c r="AT30" i="2"/>
  <c r="AT34" i="2"/>
  <c r="AT3" i="2"/>
  <c r="J29" i="1" l="1"/>
  <c r="J68" i="1"/>
  <c r="J108" i="1"/>
  <c r="J66" i="1"/>
  <c r="J65" i="1"/>
  <c r="J67" i="1"/>
  <c r="J27" i="1"/>
  <c r="J119" i="1"/>
  <c r="J100" i="1"/>
  <c r="J81" i="1"/>
  <c r="J78" i="1"/>
  <c r="J82" i="1"/>
  <c r="J41" i="1"/>
  <c r="J102" i="1"/>
  <c r="J47" i="1"/>
  <c r="J59" i="1"/>
  <c r="J118" i="1"/>
  <c r="J55" i="1"/>
  <c r="J42" i="1"/>
  <c r="J116" i="1"/>
  <c r="J51" i="1"/>
  <c r="J32" i="1"/>
  <c r="J105" i="1"/>
  <c r="J23" i="1"/>
  <c r="J12" i="1"/>
  <c r="J6" i="1"/>
  <c r="J28" i="1"/>
  <c r="J7" i="1"/>
  <c r="J16" i="1"/>
  <c r="J22" i="1"/>
  <c r="J113" i="1"/>
  <c r="J77" i="1"/>
  <c r="J49" i="1"/>
  <c r="J17" i="1"/>
  <c r="J83" i="1"/>
  <c r="J72" i="1"/>
  <c r="J33" i="1"/>
  <c r="J30" i="1"/>
  <c r="J5" i="1"/>
  <c r="J112" i="1"/>
  <c r="J93" i="1"/>
  <c r="J18" i="1"/>
  <c r="J63" i="1"/>
  <c r="J46" i="1"/>
  <c r="J80" i="1"/>
  <c r="J21" i="1"/>
  <c r="J84" i="1"/>
  <c r="J34" i="1"/>
  <c r="J35" i="1"/>
  <c r="J58" i="1"/>
  <c r="J57" i="1"/>
  <c r="J94" i="1"/>
  <c r="J76" i="1"/>
  <c r="J90" i="1"/>
  <c r="J24" i="1"/>
  <c r="J19" i="1"/>
  <c r="J85" i="1"/>
  <c r="J61" i="1"/>
  <c r="J44" i="1"/>
  <c r="J60" i="1"/>
  <c r="J73" i="1"/>
  <c r="J88" i="1"/>
  <c r="J114" i="1"/>
  <c r="J20" i="1"/>
  <c r="J103" i="1"/>
  <c r="J106" i="1"/>
  <c r="J101" i="1"/>
  <c r="J64" i="1"/>
  <c r="J75" i="1"/>
  <c r="J92" i="1"/>
  <c r="J39" i="1"/>
  <c r="J31" i="1"/>
  <c r="J109" i="1"/>
  <c r="J13" i="1"/>
  <c r="J26" i="1"/>
  <c r="J117" i="1"/>
  <c r="J115" i="1"/>
  <c r="J120" i="1"/>
  <c r="J11" i="1"/>
  <c r="J86" i="1"/>
  <c r="J36" i="1"/>
  <c r="J104" i="1"/>
  <c r="J48" i="1"/>
  <c r="J50" i="1"/>
  <c r="J45" i="1"/>
  <c r="J71" i="1"/>
  <c r="J95" i="1"/>
  <c r="J8" i="1"/>
  <c r="J69" i="1"/>
  <c r="J54" i="1"/>
  <c r="J40" i="1"/>
  <c r="J52" i="1"/>
  <c r="J99" i="1"/>
  <c r="J97" i="1"/>
  <c r="J96" i="1"/>
  <c r="J98" i="1"/>
  <c r="J91" i="1"/>
  <c r="J37" i="1"/>
  <c r="J38" i="1"/>
  <c r="J53" i="1"/>
  <c r="J10" i="1"/>
  <c r="J25" i="1"/>
  <c r="J111" i="1"/>
  <c r="J110" i="1"/>
  <c r="J107" i="1"/>
  <c r="J9" i="1"/>
  <c r="J56" i="1"/>
  <c r="J62" i="1"/>
  <c r="J74" i="1"/>
  <c r="J70" i="1"/>
  <c r="J43" i="1"/>
  <c r="J79" i="1"/>
  <c r="J89" i="1"/>
  <c r="J87" i="1"/>
  <c r="J14" i="1"/>
  <c r="J15" i="1"/>
  <c r="H11" i="2" l="1"/>
  <c r="H15" i="2"/>
  <c r="H18" i="2"/>
  <c r="H16" i="2"/>
  <c r="H22" i="2"/>
  <c r="H19" i="2"/>
  <c r="H24" i="2"/>
  <c r="H26" i="2"/>
  <c r="H28" i="2"/>
  <c r="H30" i="2"/>
  <c r="H5" i="2"/>
  <c r="H3" i="2"/>
  <c r="H4" i="2"/>
  <c r="H7" i="2"/>
  <c r="H9" i="2"/>
  <c r="H6" i="2"/>
  <c r="H12" i="2"/>
  <c r="H14" i="2"/>
  <c r="H34" i="2"/>
  <c r="H32" i="2"/>
  <c r="H33" i="2"/>
</calcChain>
</file>

<file path=xl/sharedStrings.xml><?xml version="1.0" encoding="utf-8"?>
<sst xmlns="http://schemas.openxmlformats.org/spreadsheetml/2006/main" count="1729" uniqueCount="561">
  <si>
    <t>МС-1</t>
  </si>
  <si>
    <t>БТ-2</t>
  </si>
  <si>
    <t>мана</t>
  </si>
  <si>
    <t>Т-26</t>
  </si>
  <si>
    <t>Т-46</t>
  </si>
  <si>
    <t>RUS</t>
  </si>
  <si>
    <t>USA</t>
  </si>
  <si>
    <t>D</t>
  </si>
  <si>
    <t>T-28</t>
  </si>
  <si>
    <t>T-34</t>
  </si>
  <si>
    <t>dmg</t>
  </si>
  <si>
    <t>hp</t>
  </si>
  <si>
    <t>mana</t>
  </si>
  <si>
    <t>K</t>
  </si>
  <si>
    <t>BD</t>
  </si>
  <si>
    <t>KB-1</t>
  </si>
  <si>
    <t>L</t>
  </si>
  <si>
    <t>S</t>
  </si>
  <si>
    <t>T</t>
  </si>
  <si>
    <t>+2m</t>
  </si>
  <si>
    <t>KB-1C</t>
  </si>
  <si>
    <t>Сводный</t>
  </si>
  <si>
    <t>Ударный</t>
  </si>
  <si>
    <t>Тыловой</t>
  </si>
  <si>
    <t>move</t>
  </si>
  <si>
    <t>move on kill</t>
  </si>
  <si>
    <t>ИС</t>
  </si>
  <si>
    <t>ИС-7</t>
  </si>
  <si>
    <t>АТ-1</t>
  </si>
  <si>
    <t>СУ-76</t>
  </si>
  <si>
    <t>СУ-85</t>
  </si>
  <si>
    <t>СУ-100</t>
  </si>
  <si>
    <t>СУ-152</t>
  </si>
  <si>
    <t>ИСУ-152</t>
  </si>
  <si>
    <t>СУ-26</t>
  </si>
  <si>
    <t>СУ-5</t>
  </si>
  <si>
    <t>СУ-8</t>
  </si>
  <si>
    <t>С-51</t>
  </si>
  <si>
    <t>СУ-14</t>
  </si>
  <si>
    <t>СУ-122А</t>
  </si>
  <si>
    <t>-4c</t>
  </si>
  <si>
    <t>P</t>
  </si>
  <si>
    <t>A</t>
  </si>
  <si>
    <t>M</t>
  </si>
  <si>
    <t>dis move</t>
  </si>
  <si>
    <t>dis MD</t>
  </si>
  <si>
    <t>Fire</t>
  </si>
  <si>
    <t>Ag</t>
  </si>
  <si>
    <t>(at) +d, (df) +1m</t>
  </si>
  <si>
    <t>T-34-85</t>
  </si>
  <si>
    <t>T-44</t>
  </si>
  <si>
    <t>T-54</t>
  </si>
  <si>
    <t>(resp) 2dN</t>
  </si>
  <si>
    <t>2dN</t>
  </si>
  <si>
    <t>-3c</t>
  </si>
  <si>
    <t>+2h</t>
  </si>
  <si>
    <t>+3h</t>
  </si>
  <si>
    <t>(6h) kill</t>
  </si>
  <si>
    <t>(12h)+4m</t>
  </si>
  <si>
    <t>Pt</t>
  </si>
  <si>
    <t>c</t>
  </si>
  <si>
    <t>d</t>
  </si>
  <si>
    <t>h</t>
  </si>
  <si>
    <t>m</t>
  </si>
  <si>
    <t>Легкий Танк</t>
  </si>
  <si>
    <t>Средний Танк</t>
  </si>
  <si>
    <t>Тяжелый Танк</t>
  </si>
  <si>
    <t>ПТ-САУ</t>
  </si>
  <si>
    <t>АРТ-САУ</t>
  </si>
  <si>
    <t>Охранение</t>
  </si>
  <si>
    <t>Маскировка</t>
  </si>
  <si>
    <t>Прикрытие</t>
  </si>
  <si>
    <t>цена</t>
  </si>
  <si>
    <t>урон</t>
  </si>
  <si>
    <t>жизни</t>
  </si>
  <si>
    <t>B</t>
  </si>
  <si>
    <t>Блиц</t>
  </si>
  <si>
    <t>at</t>
  </si>
  <si>
    <t>df</t>
  </si>
  <si>
    <t>res</t>
  </si>
  <si>
    <t>атака</t>
  </si>
  <si>
    <t>защита</t>
  </si>
  <si>
    <t>выход на стол</t>
  </si>
  <si>
    <t>a</t>
  </si>
  <si>
    <t>абилка</t>
  </si>
  <si>
    <t>dN</t>
  </si>
  <si>
    <t>урон на соседнюю клетку</t>
  </si>
  <si>
    <t>(P) -1d</t>
  </si>
  <si>
    <t>(df LS) -1d</t>
  </si>
  <si>
    <t>(at Pt) +2d</t>
  </si>
  <si>
    <t>ep</t>
  </si>
  <si>
    <t>p</t>
  </si>
  <si>
    <t>плацдарм</t>
  </si>
  <si>
    <t>вражеский плацдарм</t>
  </si>
  <si>
    <t>(ep) +2d</t>
  </si>
  <si>
    <t>(p) M</t>
  </si>
  <si>
    <t>(v) +1dN</t>
  </si>
  <si>
    <t>v</t>
  </si>
  <si>
    <t>обнаружение</t>
  </si>
  <si>
    <t>(res L) 2dH</t>
  </si>
  <si>
    <t>dH</t>
  </si>
  <si>
    <t>урон штабу</t>
  </si>
  <si>
    <t>+1d</t>
  </si>
  <si>
    <t>Арьергард</t>
  </si>
  <si>
    <t>-1dH</t>
  </si>
  <si>
    <t>количество</t>
  </si>
  <si>
    <t>N</t>
  </si>
  <si>
    <t>-2dN</t>
  </si>
  <si>
    <t>dis at</t>
  </si>
  <si>
    <t>перемещение</t>
  </si>
  <si>
    <t>C</t>
  </si>
  <si>
    <t>карта</t>
  </si>
  <si>
    <t>+4h</t>
  </si>
  <si>
    <t>ИС-6</t>
  </si>
  <si>
    <t>КВ-5</t>
  </si>
  <si>
    <t>(T) -2c</t>
  </si>
  <si>
    <t>(s) -2c</t>
  </si>
  <si>
    <t>(V) -2c</t>
  </si>
  <si>
    <t>s</t>
  </si>
  <si>
    <t>V</t>
  </si>
  <si>
    <t>взвод</t>
  </si>
  <si>
    <t>приказ</t>
  </si>
  <si>
    <t>-3с</t>
  </si>
  <si>
    <t>(df HAL) -1d</t>
  </si>
  <si>
    <t>Churchill</t>
  </si>
  <si>
    <t>(at) 1dV</t>
  </si>
  <si>
    <t>x3 at or df</t>
  </si>
  <si>
    <t>T-127</t>
  </si>
  <si>
    <t>(a) +1m</t>
  </si>
  <si>
    <t>A-32</t>
  </si>
  <si>
    <t>g</t>
  </si>
  <si>
    <t>гибнет</t>
  </si>
  <si>
    <t>(g) +1C</t>
  </si>
  <si>
    <t>Valentine</t>
  </si>
  <si>
    <t>(df) -1d</t>
  </si>
  <si>
    <t>(cat) -2d</t>
  </si>
  <si>
    <t>cat</t>
  </si>
  <si>
    <t>контр атака</t>
  </si>
  <si>
    <t>(g) +1m</t>
  </si>
  <si>
    <t>БТ-СВ</t>
  </si>
  <si>
    <t>Tetrarch</t>
  </si>
  <si>
    <t>(at L) +4d</t>
  </si>
  <si>
    <t>Trainingslager</t>
  </si>
  <si>
    <t>Учебный</t>
  </si>
  <si>
    <t>Training Camp</t>
  </si>
  <si>
    <t>Учебная Часть</t>
  </si>
  <si>
    <t>21-й танковый</t>
  </si>
  <si>
    <t>7-й танковый</t>
  </si>
  <si>
    <t>3-я дивизия</t>
  </si>
  <si>
    <t>11th Squadron</t>
  </si>
  <si>
    <t>2nd Armored</t>
  </si>
  <si>
    <t>3rd Airborne</t>
  </si>
  <si>
    <t>60-я танковая</t>
  </si>
  <si>
    <t>41-я танковая</t>
  </si>
  <si>
    <t>(&gt;25h) +1C</t>
  </si>
  <si>
    <t>(a)2m - 1d</t>
  </si>
  <si>
    <t>-1 карта с колоды за труп</t>
  </si>
  <si>
    <t>(g) +1h</t>
  </si>
  <si>
    <t>(a)5m +1h</t>
  </si>
  <si>
    <t>4трупа + 1m</t>
  </si>
  <si>
    <t>атака ниже от карт &gt;3</t>
  </si>
  <si>
    <t>за 2 техники +1m</t>
  </si>
  <si>
    <t>+1d по цели</t>
  </si>
  <si>
    <t>+1d по взводам</t>
  </si>
  <si>
    <t>-1d</t>
  </si>
  <si>
    <t>4-я дивизия</t>
  </si>
  <si>
    <t>(a)25m - Win!</t>
  </si>
  <si>
    <t>(a)3m - move</t>
  </si>
  <si>
    <t>(&lt;2C) +1C</t>
  </si>
  <si>
    <t>11th Airborne</t>
  </si>
  <si>
    <t>(&gt;11m) +1C</t>
  </si>
  <si>
    <t>7th Armored</t>
  </si>
  <si>
    <t>10th Mountain</t>
  </si>
  <si>
    <t>(g) 1d</t>
  </si>
  <si>
    <t>за каст (&gt;5m) - 1d</t>
  </si>
  <si>
    <t>Сумма</t>
  </si>
  <si>
    <t>CCCP</t>
  </si>
  <si>
    <t>Nazi</t>
  </si>
  <si>
    <t>PzD Clausewitz</t>
  </si>
  <si>
    <t>PzD Muncheberg</t>
  </si>
  <si>
    <t>PzD Holstein</t>
  </si>
  <si>
    <t>PzD Schlesien</t>
  </si>
  <si>
    <t>PzD Juterbog</t>
  </si>
  <si>
    <t>PzD Kurmark</t>
  </si>
  <si>
    <t>Nation</t>
  </si>
  <si>
    <t>Name</t>
  </si>
  <si>
    <t>Level</t>
  </si>
  <si>
    <t>Type</t>
  </si>
  <si>
    <t>Cost</t>
  </si>
  <si>
    <t>Dmg</t>
  </si>
  <si>
    <t>Hp</t>
  </si>
  <si>
    <t>Mana</t>
  </si>
  <si>
    <t>Bonus</t>
  </si>
  <si>
    <t>Leichttraktor</t>
  </si>
  <si>
    <t>pz35</t>
  </si>
  <si>
    <t>Pzll</t>
  </si>
  <si>
    <t>Luchs</t>
  </si>
  <si>
    <t>(g HA) 2d</t>
  </si>
  <si>
    <t>2dH</t>
  </si>
  <si>
    <t>Pz34</t>
  </si>
  <si>
    <t>+1m</t>
  </si>
  <si>
    <t>Pz4</t>
  </si>
  <si>
    <t>(at) -1g</t>
  </si>
  <si>
    <t>Tiger</t>
  </si>
  <si>
    <t>+1m, M</t>
  </si>
  <si>
    <t>Tiger ll</t>
  </si>
  <si>
    <t>(df Pt) +2d</t>
  </si>
  <si>
    <t>Ag, P</t>
  </si>
  <si>
    <t>(T) +2d</t>
  </si>
  <si>
    <t>Maus</t>
  </si>
  <si>
    <t>+3d</t>
  </si>
  <si>
    <t>VK 3001(P)</t>
  </si>
  <si>
    <t>VK 3002(DB)</t>
  </si>
  <si>
    <t>(at) +1C</t>
  </si>
  <si>
    <t>Panther</t>
  </si>
  <si>
    <t>t</t>
  </si>
  <si>
    <t>ход</t>
  </si>
  <si>
    <t>(t) +2h</t>
  </si>
  <si>
    <t>Panther ll</t>
  </si>
  <si>
    <t>cast</t>
  </si>
  <si>
    <t>играет карту</t>
  </si>
  <si>
    <t>cast +2h</t>
  </si>
  <si>
    <t>-1d to H</t>
  </si>
  <si>
    <t>H</t>
  </si>
  <si>
    <t>штаб</t>
  </si>
  <si>
    <t>Marder ll</t>
  </si>
  <si>
    <t>Hetzer</t>
  </si>
  <si>
    <t>(L) M</t>
  </si>
  <si>
    <t>StuG lll</t>
  </si>
  <si>
    <t>JgPz4</t>
  </si>
  <si>
    <t>JgPanther</t>
  </si>
  <si>
    <t>DMP</t>
  </si>
  <si>
    <t>Ferdinand</t>
  </si>
  <si>
    <t>(at M) +2d</t>
  </si>
  <si>
    <t>JgTiger</t>
  </si>
  <si>
    <t>(t) -2g</t>
  </si>
  <si>
    <t>k</t>
  </si>
  <si>
    <t>убил</t>
  </si>
  <si>
    <t>JgE-100</t>
  </si>
  <si>
    <t>(at) no cat</t>
  </si>
  <si>
    <t>(at) k</t>
  </si>
  <si>
    <t>(df H) -1d</t>
  </si>
  <si>
    <t>Bison</t>
  </si>
  <si>
    <t>Wespe</t>
  </si>
  <si>
    <t>(k) -3g</t>
  </si>
  <si>
    <t>Sturmpanzer ll</t>
  </si>
  <si>
    <t>Grille</t>
  </si>
  <si>
    <t>(a) 2dV</t>
  </si>
  <si>
    <t>Hummel</t>
  </si>
  <si>
    <t>xL +x2d</t>
  </si>
  <si>
    <t>(xA) +xd</t>
  </si>
  <si>
    <t>x</t>
  </si>
  <si>
    <t>GW Panther</t>
  </si>
  <si>
    <t>(k) +1at</t>
  </si>
  <si>
    <t>(at A) +2d</t>
  </si>
  <si>
    <t>GW Tiger</t>
  </si>
  <si>
    <t>(Pt) 1d to all</t>
  </si>
  <si>
    <t>GW Typ E</t>
  </si>
  <si>
    <t>(at) 2dV</t>
  </si>
  <si>
    <t>(df) +2H</t>
  </si>
  <si>
    <t>(k) +4H</t>
  </si>
  <si>
    <t>(g) +4H</t>
  </si>
  <si>
    <t>Lowe</t>
  </si>
  <si>
    <t>(xg) +xh</t>
  </si>
  <si>
    <t>+2d</t>
  </si>
  <si>
    <t>JgTiger88</t>
  </si>
  <si>
    <t>(xdH) -xc</t>
  </si>
  <si>
    <t>Pz38</t>
  </si>
  <si>
    <t>Pz S35</t>
  </si>
  <si>
    <t>T-15</t>
  </si>
  <si>
    <t>-2c</t>
  </si>
  <si>
    <t>Pz38H (f)</t>
  </si>
  <si>
    <t>(L) -2d</t>
  </si>
  <si>
    <t>T1 lt</t>
  </si>
  <si>
    <t>U</t>
  </si>
  <si>
    <t>T2 lt</t>
  </si>
  <si>
    <t>M3 Stuart</t>
  </si>
  <si>
    <t>+1dA</t>
  </si>
  <si>
    <t>(a) move</t>
  </si>
  <si>
    <t>M5 Stuart</t>
  </si>
  <si>
    <t>M2 mt</t>
  </si>
  <si>
    <t>(xm) +xm</t>
  </si>
  <si>
    <t>M3 Lee</t>
  </si>
  <si>
    <t>(xm) +xh</t>
  </si>
  <si>
    <t>M4A3E8</t>
  </si>
  <si>
    <t>(t "no free cell") win!</t>
  </si>
  <si>
    <t>Pershing</t>
  </si>
  <si>
    <t>(t) +2H</t>
  </si>
  <si>
    <t>M46 Patton</t>
  </si>
  <si>
    <t>(ep) +1C</t>
  </si>
  <si>
    <t>(ep) 3dH</t>
  </si>
  <si>
    <t>T1 Heavy</t>
  </si>
  <si>
    <t>(xm) +H</t>
  </si>
  <si>
    <t>M6</t>
  </si>
  <si>
    <t>T32</t>
  </si>
  <si>
    <t>-1dV</t>
  </si>
  <si>
    <t>T110E5</t>
  </si>
  <si>
    <t>+1dN</t>
  </si>
  <si>
    <t>res middle</t>
  </si>
  <si>
    <t>T82</t>
  </si>
  <si>
    <t>(g AH) +1C</t>
  </si>
  <si>
    <t>T40</t>
  </si>
  <si>
    <t>Wolverine</t>
  </si>
  <si>
    <t>Slugger</t>
  </si>
  <si>
    <t>dis m</t>
  </si>
  <si>
    <t>T25/2</t>
  </si>
  <si>
    <t>(res xm) xdL</t>
  </si>
  <si>
    <t>T28 Prot.</t>
  </si>
  <si>
    <t>-1d to Pt</t>
  </si>
  <si>
    <t>(t) +1h</t>
  </si>
  <si>
    <t>buff d to all</t>
  </si>
  <si>
    <t>T30</t>
  </si>
  <si>
    <t>T110E4</t>
  </si>
  <si>
    <t>+1m to all</t>
  </si>
  <si>
    <t>(AH) +4d</t>
  </si>
  <si>
    <t>(10m) +1t</t>
  </si>
  <si>
    <t>M7 Priest</t>
  </si>
  <si>
    <t>(k) +2eg</t>
  </si>
  <si>
    <t>M37</t>
  </si>
  <si>
    <t>M41</t>
  </si>
  <si>
    <t>M12</t>
  </si>
  <si>
    <t>(xm) +xC</t>
  </si>
  <si>
    <t>M40/M43</t>
  </si>
  <si>
    <t>(at D) +3d</t>
  </si>
  <si>
    <t>T92</t>
  </si>
  <si>
    <t>(at) +1eg</t>
  </si>
  <si>
    <t>(at H) 2dp</t>
  </si>
  <si>
    <t>T26E4</t>
  </si>
  <si>
    <t>(xm) +x/2m</t>
  </si>
  <si>
    <t>(xm) -x/3d</t>
  </si>
  <si>
    <t>T34</t>
  </si>
  <si>
    <t>no cat, (df) +1H</t>
  </si>
  <si>
    <t>M6A2E1</t>
  </si>
  <si>
    <t>-2d first</t>
  </si>
  <si>
    <t>(at) cat</t>
  </si>
  <si>
    <t>M4A2E4</t>
  </si>
  <si>
    <t>Locust</t>
  </si>
  <si>
    <t>M2 lt</t>
  </si>
  <si>
    <t>(xm) +xC, -xH</t>
  </si>
  <si>
    <t>M44</t>
  </si>
  <si>
    <t>(corner) +2d</t>
  </si>
  <si>
    <t>(res) move</t>
  </si>
  <si>
    <t>Matilda IV</t>
  </si>
  <si>
    <t>KV-220</t>
  </si>
  <si>
    <t>СУ-18</t>
  </si>
  <si>
    <t>T-25</t>
  </si>
  <si>
    <t>Pz B2</t>
  </si>
  <si>
    <t>Panzerjager I</t>
  </si>
  <si>
    <t>Ram II</t>
  </si>
  <si>
    <t>T14</t>
  </si>
  <si>
    <t>T18</t>
  </si>
  <si>
    <t>Ценность</t>
  </si>
  <si>
    <t>CCCP 23#sh_3yakrasnoznamennayadivisiya,sv_t28#1,sv_kv1#1,sp_pogranichniki12dagectanskoidivizii#2,so_boltatvragupomogat#3,sp_vzvodtilovovoobespecheniya8armii#2,sv_su100#3,sv_t34#4,sv_su8#1,sv_su18#3,sp_saperiukrainskogofronta#3,so_nashisilyneischislimy#2,sp_razvedchikibeloruskogofronta#2,sv_su152#1,sv_su5#2,sv_su76#2,sv_valentine2#2,so_nazapad#1,gv_pzkpfwIIIslashIV#3,sv_s51#2</t>
  </si>
  <si>
    <t xml:space="preserve"> </t>
  </si>
  <si>
    <t>Lvl</t>
  </si>
  <si>
    <t>CCCP 26#sh_3yakrasnoznamennayadivisiya,sv_kv1#1,sv_su14#2,so_boltatvragupomogat#3,sv_su100#3,sv_t34#7,sv_su8#1,sv_su18#3,sp_saperiukrainskogofronta#3,so_nashisilyneischislimy#3,sp_razvedchikibeloruskogofronta#1,sv_su152#1,sv_su76#3,sv_su5#2,sp_telephonisty30divisiinkvd#1,sv_valentine2#1,so_nazapad#2,sv_s51#2,sv_kv1s#1</t>
  </si>
  <si>
    <t>Танковая дивизия «Силезия»#gh_divisionschlesien,gv_pzkpfwIIluchs#1,gv_pzkpfwIV#1,uv_t26e4#1,gv_vk3002(db)#3,gv_vk3001(p)#1,go_inderstaub#1,gp_nachschubzugder9pd#3,go_arbeitedufuerdensieg#1,gp_nachaichtrnbrigadeder1pd#1,gv_pzkpfwVIbtigerII#1,gv_jagdtiger#3,gv_pzkpfwVpanther#2,go_politruklzhet#3,up_sniperplatoonofthe82division#1,go_derstirnderfaust#1,gv_pzkpfwIIIslashIV#3,go_kampfbiszumende#3,gv_lowe#2,gv_maus#1,gv_gwtiger#2,gv_marderII#1,gv_pzkpfwVItiger#1,gv_wespe#3</t>
  </si>
  <si>
    <t>T30 Force#uh_3airbornetankbattalion,uv_t26e4#1,gv_pzb2#3,gv_vk3002(db)#2,up_mortarsof17division#1,uv_ramII#3,gv_t25#3,sv_ms1#1,uv_t14#3,gv_pzkpfwII#3,sv_matilda4#2,sv_kv220#3,uv_m37#3,gv_sturmpanzerII#1,uo_backthemwithmoremetal#3,uv_t40#3,uv_m2lighttank#1,uv_m6#1,uv_m7priest#3</t>
  </si>
  <si>
    <t>Танковая дивизия «Силезия» 15#gh_divisionschlesien,gv_pzkpfwIIluchs#3,gv_vk3002(db)#1,gv_pzb2#1,gv_pzkpfw38(t)#3,gp_divisiondingenieureschlesien#2,uv_ramII#2,uv_t14#2,gp_nachaichtrnbrigadeder1pd#2,gv_pzkpfwII#2,gp_fernschreiberderpdkurmark#1,sv_kv220#3,gv_pzkpfwIIIslashIV#3,gv_sturmpanzerII#3,go_kampfbiszumende#3,gv_sturmpanzerIbison#2,gv_lowe#1,gv_pzkpfw35(t)#3,gv_marderII#3</t>
  </si>
  <si>
    <t>Танковая дивизия «Ютербог»#gh_pdjuterbog,gv_pzkpfwIIluchs#3,sp_vzvodtilovovoobespecheniya8armii#2,sv_su18#3,go_vaterlandodertod#3,go_arbeitedufuerdensieg#1,so_takbilotakbudet#3,go_rauftdeutcheware#2,gv_pzkpfwVpanther#2,gv_ferdinand#3,gv_pzkpfwII#3,go_dersiegwirdunsersein#3,gp_fernschreiberderpdkurmark#1,gp_bauzugderpdmuncheberg#1,gv_pzkpfwIIIslashIV#1,gv_sturmpanzerIbison#3,gv_marderII#3,gp_feldmedizinerder14pd#1,gv_pzkpfw38h735f#2</t>
  </si>
  <si>
    <t>Juter 14#gh_pdjuterbog,gv_pzkpfwIIluchs#3,sp_vzvodtilovovoobespecheniya8armii#2,sv_su18#2,sv_btsv#2,gp_nachaichtrnbrigadeder1pd#2,so_takbilotakbudet#3,gv_grille#1,gv_pzkpfwII#3,go_dersiegwirdunsersein#2,gp_fernschreiberderpdkurmark#3,gv_pzkpfwIIIslashIV#3,gv_sturmpanzerII#3,go_kampfbiszumende#2,gv_sturmpanzerIbison#2,gv_pzkpfw35(t)#1,gv_marderII#3,gv_pzkpfw38h735f#3</t>
  </si>
  <si>
    <t>Juter 25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</si>
  <si>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Танковая дивизия «Силезия» 16#gh_divisionschlesien,gv_pzkpfwIIluchs#3,gv_pzb2#1,gv_pzkpfw38(t)#3,gp_divisiondingenieureschlesien#1,uv_ramII#1,gv_hummel#2,uv_t14#2,gp_nachaichtrnbrigadeder1pd#3,gv_pzkpfwII#3,gp_fernschreiberderpdkurmark#1,sv_kv220#3,gv_pzkpfwIIIslashIV#3,gv_sturmpanzerII#3,go_kampfbiszumende#3,gv_sturmpanzerIbison#2,gv_lowe#1,gv_pzkpfw35(t)#2,gv_marderII#2,gv_wespe#1</t>
  </si>
  <si>
    <t>2-й танковый батальон#uh_2armoredbattalion,up_gunnersofthenationalguard#2,uv_m36slugger#3,uo_tovictory#3,uv_t26e4#1,uv_m2mediumtank#2,uo_anappealtoyou#1,uo_thekeytothesituation#3,up_volunteersof29infantryregiment#1,gv_pzkpfwVpanther#2,uv_m10#3,uo_freedomshallprevail#2,up_sniperplatoonofthe82division#1,uv_m12#1,uv_t2lt#1,uv_m37#3,uv_m3lee#1,uv_m5stuart#3,uv_t40#3,uv_m6#1,uv_t30#3</t>
  </si>
  <si>
    <t>11 Squadron 13#uh_11mechanizedreconnaissancesquadron,sv_churchill3#3,so_budbditelnym#3,gv_pzb2#3,sv_su18#3,uv_ramII#2,sv_a32#3,uv_t14#2,gv_t15#3,sv_matilda4#1,up_telephonistsofexpeditionaryforces#3,uv_m4a2e4#3,sv_kv220#3,uv_m37#2,gv_gwpanther#1,gp_auskundschaftersderpdmuncheberg#3,uv_m2lighttank#1,uv_m6#1</t>
  </si>
  <si>
    <t>11 Squadron 22#uh_11mechanizedreconnaissancesquadron,uo_tovictory#3,so_boltatvragupomogat#3,sv_su100#2,uv_t26e4#1,uv_m2mediumtank#1,sv_btsv#2,uo_thekeytothesituation#3,gv_t15#3,up_volunteersof29infantryregiment#1,gv_pzkpfwVpanther#2,gv_pzkpfwII#1,up_sniperplatoonofthe82division#3,uo_freedomshallprevail#2,uv_m12#1,go_kameradderarbeit#2,uv_t2lt#3,uv_m3stuart#3,uv_m5stuart#3,uv_m6#1</t>
  </si>
  <si>
    <t>Only arta#sh_3yakrasnoznamennayadivisiya,uo_tovictory#3,sv_su14#2,so_beynasmert#3,sv_t34#1,so_udarmolota#3,sv_su8#2,sv_su18#3,so_nashisilyneischislimy#1,sv_su5#3,uo_thekeytothesituation#3,gv_grille#1,sv_su122a#3,so_budgeroem#1,uo_freedomshallprevail#1,uv_t57#3,gv_sturmpanzerII#3,sv_s51#3,sv_kv1s#1</t>
  </si>
  <si>
    <t>SPELLS#uh_10thmountaindivision,uo_tovictory#3,gv_pzkpfwIIluchs#3,so_budbditelnym#3,sp_pogranichniki12dagectanskoidivizii#2,so_udarmolota#3,gp_panzertunkerderpdholstein#3,sp_saperiukrainskogofronta#3,uo_enlistinthewaves#3,uo_thekeytothesituation#3,so_takbilotakbudet#3,uo_backthemwithmoremetal#3,uo_letemallcome#1,uo_thismanisyoufriend#3,up_crewof501airdefensebattalion#2,uo_crushprussian#1,uv_t30#1</t>
  </si>
  <si>
    <t>27 Balanced 10-я горная дивизия#uh_10thmountaindivision,so_budbditelnym#3,uv_t26e4#1,gv_pzb2#2,up_mortarsof17division#2,uv_ramII#2,uv_m2mediumtank#2,sv_a32#1,uv_t14#1,uo_thekeytothesituation#3,sp_telephonisty30divisiinkvd#1,uv_m10#2,uv_m12#1,sv_kv220#2,uv_m37#3,uv_m3lee#3,uo_backthemwithmoremetal#1,uv_m5stuart#1,uv_t1heavy#1,uo_thismanisyoufriend#3,gv_gwtiger#2,up_crewof501airdefensebattalion#1,uv_m2lighttank#1,uv_t30#1</t>
  </si>
  <si>
    <t>29 Balanced 10-я горная дивизия#uh_10thmountaindivision,uv_m36slugger#3,uv_t28prot#1,up_mortarsof17division#2,uo_thekeytothesituation#3,uv_m10#3,uo_freedomshallprevail#2,up_sniperplatoonofthe82division#1,uv_m12#1,uv_t2lt#3,uv_m37#3,uo_backthemwithmoremetal#3,uv_m5stuart#3,uo_thismanisyoufriend#3,uo_letemallcome#3,uv_t40#3,uv_t30#3</t>
  </si>
  <si>
    <t>41-я танковая дивизия 24#sh_41ayatankovayadivisiya,sv_churchill3#1,so_budbditelnym#3,sp_pogranichniki12dagectanskoidivizii#1,sv_t26#3,so_boltatvragupomogat#3,sv_t34#7,gv_pzb2#2,uv_ramII#3,sv_btsv#1,sv_a32#3,sv_su76#3,sv_is6#1,so_otstoimmoskvu#3,sp_telephonisty30divisiinkvd#1,sp_voenniyecriminalisty#1,sv_kv220#2,sv_kv1s#1,gv_pzkpfw38h735f#1</t>
  </si>
  <si>
    <t>TT#sh_41ayatankovayadivisiya,sv_churchill3#1,sp_pogranichniki12dagectanskoidivizii#1,sv_t26#3,so_boltatvragupomogat#3,sv_t34#8,gv_pzb2#3,gv_pzkpfws35739f#2,sv_btsv#2,sv_su76#3,so_otstoimmoskvu#3,sv_is6#2,sp_telephonisty30divisiinkvd#1,sp_voenniyecriminalisty#1,sv_kv220#3,gv_lowe#2,sv_kv1s#1,gv_pzkpfw38h735f#1</t>
  </si>
  <si>
    <t>DMG#sh_41ayatankovayadivisiya,so_boltatvragupomogat#3,sv_t34#9,sv_su18#3,gv_vk3001(p)#1,sp_telephonisty30divisiinkvd#1,gv_hetzer#3,gv_pzkpfwII#3,gv_leichttraktor#3,uv_t82#2,uv_t2lt#2,gv_pzkpfwIIIslashIV#3,gv_marderII#3,sv_kv1s#1,gv_pzkpfw38h735f#3</t>
  </si>
  <si>
    <t>27 4-я Кантемировская дивизия#sh_4kantemirovskayadivisiya,sv_bt2#2,sv_kv1#1,sv_t127#3,so_boltatvragupomogat#3,uv_t26e4#1,sv_t34#6,gv_vk3002(db)#1,sv_btsv#3,so_nashisilyneischislimy#2,sv_a32#2,sv_su76#2,sv_su152#1,so_otstoimmoskvu#3,uo_thekeytothesituation#2,sp_telephonisty30divisiinkvd#1,up_sniperplatoonofthe82division#3,sv_at1#1,gv_88pak43jagdtiger#1,uv_t40#1,sv_kv1s#1</t>
  </si>
  <si>
    <t>FARMERS#sh_4kantemirovskayadivisiya,so_nazapad#1,sv_t28#3,so_budbditelnym#3,sp_pogranichniki12dagectanskoidivizii#2,sp_strelkiuzhnogofronta#3,sv_t127#3,so_boltatvragupomogat#3,sv_t26#3,sv_t34#1,gv_88pak43jagdtiger#1,so_nashisilyneischislimy#3,sv_a32#3,uv_t40#3,uv_t14#3,sp_telephonisty30divisiinkvd#1,uv_m10#3,uv_m6#1</t>
  </si>
  <si>
    <t>FEED ANAL</t>
  </si>
  <si>
    <t>20 Juter #gh_pdjuterbog,gv_pzkpfwIIluchs#3,gp_divisiondingenieureschlesien#1,gv_stug3#1,sv_btsv#3,gv_vk3001(p)#2,sv_a32#3,go_rauftdeutcheware#1,gv_grille#1,sv_mk7tetrarch#1,gv_pzkpfwII#2,sv_valentine2#3,go_dersiegwirdunsersein#3,gv_pzkpfwIIIslashIV#3,gv_sturmpanzerII#3,gv_sturmpanzerIbison#1,gv_lowe#2,gv_gwpanther#1,gv_marderII#3,gv_pzkpfw38h735f#3</t>
  </si>
  <si>
    <t>20 2-й танковый батальон#uh_2armoredbattalion,sv_churchill3#3,uv_t26e4#1,gv_pzkpfws35739f#3,sv_btsv#3,sv_a32#3,uv_m22locust#3,gv_t15#3,sv_mk7tetrarch#1,sv_valentine2#3,uv_m4a2e4#3,gv_sturmpanzerII#2,uv_m37#3,gv_88pak43jagdtiger#1,gv_lowe#2,uv_m2lighttank#2,uv_m6#1,gv_pzkpfw38h735f#3</t>
  </si>
  <si>
    <t xml:space="preserve"> TOP 27-29«Курмарк»#gh_divisionkurmark,gv_pzkpfwIIluchs#3,gv_pzkpfwIV#1,gv_stug3#1,gp_divisiondingenieureschlesien#3,gp_panzertunkerderpdholstein#3,gv_vk3001(p)#2,sv_a32#3,sv_is6#1,gv_hummel#2,gv_jagdpziv#1,go_arbeitedufuerdensieg#1,go_winterhifswerk#1,gv_grille#1,go_rauftdeutcheware#3,gp_bauzugderpdmuncheberg#1,gv_pzkpfwIIIslashIV#3,gv_sturmpanzerII#3,gv_lowe#2,gv_gwpanther#2,gv_pzkpfwVItiger#1,gp_feldmedizinerder14pd#1,go_flammenwerfervor#1</t>
  </si>
  <si>
    <t>Juter 23#gh_pdjuterbog,gv_pzkpfwIIluchs#2,gp_divisiondingenieureschlesien#3,sv_btsv#3,gv_vk3001(p)#2,sv_a32#3,sv_is6#1,gv_hummel#2,go_arbeitedufuerdensieg#1,go_rauftdeutcheware#3,gv_grille#1,sv_mk7tetrarch#1,go_dersiegwirdunsersein#3,sv_valentine2#3,gp_bauzugderpdmuncheberg#1,gv_pzkpfwIIIslashIV#3,gv_sturmpanzerII#3,gv_lowe#2,gv_pzkpfwVItiger#1,gv_pzkpfw38h735f#2</t>
  </si>
  <si>
    <t>2-й танковый батальон#uh_2armoredbattalion,sv_churchill3#3,uv_t26e4#1,gv_pzkpfws35739f#3,sv_btsv#3,sv_a32#3,uv_m22locust#3,gv_t15#3,sv_mk7tetrarch#1,sv_valentine2#3,uv_m4a2e4#3,gv_88pak43jagdtiger#1,gv_lowe#2,gv_pzkpfw38h735f#3,sv_is6#2,gv_vk3002(db)#3,gv_ferdinand#3</t>
  </si>
  <si>
    <t>Juter 12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</si>
  <si>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2-й танковый батальон#uh_2armoredbattalion,sv_churchill3#3,uv_t26e4#1,gv_vk3002(db)#3,gv_pzkpfws35739f#3,sv_btsv#3,sv_a32#3,sv_is6#2,gv_t15#3,sv_mk7tetrarch#1,sv_valentine2#3,uv_m4a2e4#3,gv_88pak43jagdtiger#1,gv_lowe#2,gv_pzkpfw38h735f#3,gv_ferdinand#3,sv_s51#3</t>
  </si>
  <si>
    <t>Juter 12#gh_pdjuterbog,gp_bauzugderpdmuncheberg#1,gp_feldmedizinerder14pd#1,gp_panzertunkerderpdholstein#3,go_rauftdeutcheware#3,go_arbeitedufuerdensieg#1,go_winterhifswerk#1,gv_gwpanther#2,sv_is6#1,gv_pzkpfwVItiger#1,gv_lowe#2,gv_hummel#2,gv_jagdpanther#1,gv_vk3001(p)#2,gv_grille#1,gv_jagdpziv#1,gv_pzkpfwIV#1,gv_sturmpanzerII#3,gv_stug3#1,gv_pzkpfwIIIslashIV#3,go_flammenwerfervor#1,go_volkssturm#3,gv_pzkpfwIIluchs#3,gv_hetzer#2</t>
  </si>
  <si>
    <t>Unsummon#uh_10thmountaindivision,gv_pzb2#3,gp_divisiondingenieureschlesien#1,up_mortarsof17division#1,uv_ramII#3,uv_t14#3,uo_thekeytothesituation#3,uv_m10#3,sv_matilda4#3,up_telephonistsofexpeditionaryforces#1,uv_m12#1,sv_kv220#3,uv_m37#3,uo_thismanisyoufriend#3,uv_t40#3,gp_auskundschaftersderpdmuncheberg#1,uv_m2lighttank#1,uo_crushprussian#1,uv_t30#3</t>
  </si>
  <si>
    <t>10-я горная дивизия#uh_10thmountaindivision,sv_churchill3#3,uv_t26e4#1,gv_vk3002(db)#3,gv_pzkpfws35739f#3,sv_btsv#3,sv_a32#3,sv_is6#2,gv_t15#3,gv_ferdinand#3,sv_mk7tetrarch#1,sv_valentine2#3,uv_m4a2e4#3,gv_88pak43jagdtiger#1,gv_lowe#2,sv_s51#3,gv_pzkpfw38h735f#3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</si>
  <si>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3,gv_pzkpfwII#3,gv_sturmpanzerIbison#2,gv_lowe#1,gv_gwtiger#2,gv_marderII#3,gv_pzkpfw38h735f#2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</si>
  <si>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2,gv_pzkpfwII#3,gv_sturmpanzerIbison#2,gv_lowe#1,gv_gwtiger#2,gv_marderII#3,gv_pzkpfw38h735f#2,gv_pzkpfw35(t)#1</t>
  </si>
  <si>
    <t>Juter 12#gh_pdjuterbog,gv_pzkpfwIIluchs#3,gv_pzkpfwIV#1,gv_vk3002(db)#1,gv_stug3#1,gp_panzertunkerderpdholstein#3,gv_vk3001(p)#2,go_inderstaub#1,sv_is6#2,gv_hummel#2,gv_jagdpziv#1,go_arbeitedufuerdensieg#1,go_winterhifswerk#1,gv_grille#1,go_rauftdeutcheware#3,go_volkssturm#2,gv_jagdpanther#1,gp_bauzugderpdmuncheberg#1,gv_pzkpfwIIIslashIV#3,gv_sturmpanzerII#3,gv_lowe#2,gv_gwpanther#2,gv_pzkpfwVItiger#1,gp_feldmedizinerder14pd#1,go_flammenwerfervor#1</t>
  </si>
  <si>
    <t>Танковая дивизия «Силезия»#gh_divisionschlesien,gv_pzkpfwIIluchs#1,gp_divisiondingenieureschlesien#3,gv_stug3#1,sv_btsv#3,gv_vk3001(p)#2,sv_a32#3,sv_is6#1,gv_hummel#2,go_rauftdeutcheware#3,gv_grille#1,sv_mk7tetrarch#1,go_dersiegwirdunsersein#3,sv_valentine2#3,gv_sturmpanzerII#3,gv_pzkpfwIIIslashIV#3,gv_lowe#2,gv_gwpanther#2,gv_pzkpfw38h735f#3</t>
  </si>
  <si>
    <t>11-я воздушно-десантная дивизия#uh_11thairbornedivision,uv_m36slugger#2,so_boltatvragupomogat#3,uv_t28prot#1,sv_btsv#3,sv_a32#3,uo_anappealtoyou#1,uo_thekeytothesituation#3,gv_t15#3,up_volunteersof29infantryregiment#1,gv_pzkpfwVpanther#1,uv_m10#3,up_sniperplatoonofthe82division#3,uo_freedomshallprevail#2,up_fieldsignalersofcontinentalarmy#3,uv_m12#1,uv_m44#1,uv_t32#1,uv_m6#2,uv_t30#3</t>
  </si>
  <si>
    <t>11-я воздушно-десантная дивизия#uh_11thairbornedivision,so_boltatvragupomogat#3,uv_t28prot#1,sv_btsv#2,sv_isu152#1,sv_a32#2,uo_thekeytothesituation#3,gv_t15#2,up_volunteersof29infantryregiment#1,gv_jagdtiger#2,uv_m10#3,gv_pzkpfwVpanther#2,uo_freedomshallprevail#2,up_sniperplatoonofthe82division#3,up_fieldsignalersofcontinentalarmy#2,uv_m12#1,gv_88pak43jagdtiger#1,uv_m44#1,gv_gwtiger#2,uv_t32#1,uv_m6#2,uv_t30#3</t>
  </si>
  <si>
    <t>26-29</t>
  </si>
  <si>
    <t>RUS#sh_uchebnayachast,gv_pzkpfwIV#1,gp_panzertunkerderpdholstein#3,gv_vk3001(p)#2,go_inderstaub#1,sv_is6#2,gv_hummel#2,gv_jagdpziv#1,go_arbeitedufuerdensieg#1,go_winterhifswerk#1,gv_grille#1,go_rauftdeutcheware#3,gv_jagdpanther#1,gv_ferdinand#2,gp_bauzugderpdmuncheberg#2,gv_pzkpfwIIIslashIV#3,gv_sturmpanzerII#3,gv_lowe#2,go_flammenwerfervor#1,sv_su26#1,sp_artilleristy17bobruiskoydivizii#1,gv_gwpanther#2,gv_pzkpfwVItiger#1,gv_vk3002(db)#1,gp_feldmedizinerder14pd#2</t>
  </si>
  <si>
    <t>11-я воздушно-десантная дивизия#uh_11thairbornedivision,sv_churchill3#2,so_boltatvragupomogat#2,sv_btsv#2,sv_a32#3,uo_thekeytothesituation#3,gv_t15#3,uv_m26pershing#1,uv_m10#3,gv_pzkpfwVpanther#2,up_sniperplatoonofthe82division#3,uo_freedomshallprevail#3,up_fieldsignalersofcontinentalarmy#2,uv_m4a2e4#3,uv_t40#3,uv_m6#2,uv_t30#3</t>
  </si>
  <si>
    <t>RUS#sh_uchebnayachast,gv_pzkpfwIV#1,gv_vk3002(db)#1,gp_panzertunkerderpdholstein#3,gv_vk3001(p)#2,sp_razvedchikibeloruskogofronta#1,go_inderstaub#1,sv_is6#2,gv_hummel#2,so_vzyatcel#1,gv_jagdpziv#1,go_arbeitedufuerdensieg#1,gv_grille#1,go_rauftdeutcheware#3,gv_jagdpanther#1,gv_ferdinand#2,sv_su122a#1,so_budgeroem#1,gp_bauzugderpdmuncheberg#2,gv_pzkpfwIIIslashIV#2,gv_sturmpanzerII#3,gv_lowe#2,gv_gwpanther#2,gv_pzkpfwVItiger#1,gp_feldmedizinerder14pd#2,sv_t46#1</t>
  </si>
  <si>
    <t>27 11-я воздушно-десантная дивизия#uh_11thairbornedivision,so_budbditelnym#2,so_boltatvragupomogat#3,uv_t28prot#1,sv_btsv#3,sv_a32#3,uo_anappealtoyou#2,uo_thekeytothesituation#3,gv_t15#3,uv_m26pershing#1,up_volunteersof29infantryregiment#1,uv_m10#3,gv_pzkpfwVpanther#1,up_sniperplatoonofthe82division#3,uo_freedomshallprevail#2,up_fieldsignalersofcontinentalarmy#3,sp_strelkiuzhnogofronta#1,uv_m12#1,uv_m6#1,uv_t30#3</t>
  </si>
  <si>
    <t>28 11-я воздушно-десантная дивизия#uh_11thairbornedivision,sv_churchill3#3,so_boltatvragupomogat#2,sv_btsv#2,sv_a32#3,uo_thekeytothesituation#3,gv_t15#3,uv_m26pershing#1,gv_pzkpfwVpanther#2,uv_m10#3,uo_freedomshallprevail#3,up_sniperplatoonofthe82division#3,up_fieldsignalersofcontinentalarmy#2,uv_m4a2e4#3,uv_t40#3,uv_m6#1,uv_t30#3</t>
  </si>
  <si>
    <t>27 T32 T28 T40#uh_11thairbornedivision,so_budbditelnym#2,so_boltatvragupomogat#2,sv_a32#3,uo_thekeytothesituation#3,gv_t15#3,uv_m26pershing#1,uv_m10#3,gv_pzkpfwVpanther#1,up_sniperplatoonofthe82division#3,uo_freedomshallprevail#2,up_fieldsignalersofcontinentalarmy#3,sp_strelkiuzhnogofronta#1,uv_m6#1,uv_t30#3,uv_t32#1,sv_churchill3#1,uv_m4a2e4#3,uv_t40#3,uv_t28prot#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</si>
  <si>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</si>
  <si>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</si>
  <si>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</si>
  <si>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</si>
  <si>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</si>
  <si>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</si>
  <si>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</si>
  <si>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</si>
  <si>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</si>
  <si>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</si>
  <si>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761</t>
  </si>
  <si>
    <t>546</t>
  </si>
  <si>
    <t>280</t>
  </si>
  <si>
    <t>166</t>
  </si>
  <si>
    <t>100</t>
  </si>
  <si>
    <t>45</t>
  </si>
  <si>
    <t>15</t>
  </si>
  <si>
    <t>0</t>
  </si>
  <si>
    <t>Prem</t>
  </si>
  <si>
    <t>5, 6A</t>
  </si>
  <si>
    <t>12,6</t>
  </si>
  <si>
    <t>29,5</t>
  </si>
  <si>
    <t>63,7</t>
  </si>
  <si>
    <t>3-я Краснознамённая дивизия#sh_3yakrasnoznamennayadivisiya,sv_t28#1,sv_t127#1,sp_pogranichniki12dagectanskoidivizii#1,gv_vk3002(db)#1,gp_panzertunkerderpdholstein#3,gv_vk3001(p)#2,go_inderstaub#1,sv_is6#2,gv_hummel#2,gv_jagdpziv#1,go_winterhifswerk#1,gv_grille#1,go_rauftdeutcheware#3,sv_su85#1,gv_ferdinand#1,go_volkssturm#3,gv_jagdpanther#1,gp_bauzugderpdmuncheberg#1,gv_sturmpanzerII#3,go_kampfbiszumende#1,gv_lowe#2,sv_s51#1,gv_gwpanther#2,gv_pzkpfwVItiger#1,gp_feldmedizinerder14pd#2,go_flammenwerfervor#1</t>
  </si>
  <si>
    <t>29 11-я воздушно-десантная дивизия#uh_11thairbornedivision,sv_churchill3#3,so_boltatvragupomogat#2,uv_t28prot#1,sv_a32#3,uo_thekeytothesituation#3,gv_t15#2,gv_pzkpfwVpanther#2,uv_m10#3,uo_freedomshallprevail#3,up_sniperplatoonofthe82division#3,up_fieldsignalersofcontinentalarmy#3,uv_m4a2e4#3,gv_88pak43jagdtiger#1,uv_t40#3,uv_t32#1,uv_m6#1,uv_t30#3</t>
  </si>
  <si>
    <t>«Мюнхеберг»#gh_pzgrmuncheberg,gv_pzkpfwIV#1,gv_pzb2#3,gp_panzertunkerderpdholstein#3,uv_ramII#3,gv_vk3001(p)#2,go_inderstaub#1,sv_is6#2,gv_hummel#2,gv_jagdpziv#1,go_arbeitedufuerdensieg#1,go_winterhifswerk#1,gv_grille#1,go_rauftdeutcheware#3,gv_jagdpanther#1,gv_ferdinand#2,go_volkssturm#3,gp_bauzugderpdmuncheberg#1,gv_pzkpfwIIIslashIV#3,gv_sturmpanzerII#3,gv_lowe#2,go_flammenwerfervor#1</t>
  </si>
  <si>
    <t>«Мюнхеберг»#gh_pzgrmuncheberg,sv_btsv#3,gv_pzkpfws35739f#3,gv_vk3001(p)#2,uv_m22locust#3,sv_a32#3,sv_is6#2,gv_hummel#2,gv_t15#3,go_rauftdeutcheware#3,gv_ferdinand#2,gv_jagdpanther#1,sv_mk7tetrarch#1,sv_valentine2#3,gp_bauzugderpdmuncheberg#2,gv_lowe#2,gv_gwpanther#2,gv_pzkpfw38h735f#3</t>
  </si>
  <si>
    <t>«Мюнхеберг»#gh_pzgrmuncheberg,gv_vk3002(db)#1,gp_panzertunkerderpdholstein#3,gv_vk3001(p)#2,go_inderstaub#1,sv_is6#2,gv_hummel#2,gv_jagdpziv#1,go_winterhifswerk#1,go_rauftdeutcheware#3,gv_grille#1,gv_ferdinand#2,gv_jagdpanther#1,go_volkssturm#3,gp_bauzugderpdmuncheberg#2,gv_pzkpfwIIIslashIV#3,gv_sturmpanzerII#3,gv_lowe#2,gv_gwpanther#2,gp_feldmedizinerder14pd#2,go_flammenwerfervor#1,go_arbeitedufuerdensieg#1,gv_pzkpfwIV#1</t>
  </si>
  <si>
    <t>27«Клаузевиц»#gh_divisionclausewitz,gv_pzkpfwIIluchs#3,so_budbditelnym#3,gv_pzkpfwIV#1,sv_btsv#3,go_inderstaub#2,gp_nachschubzugder9pd#3,gv_jagdpziv#2,go_arbeitedufuerdensieg#3,go_winterhifswerk#3,go_volkssturm#3,gp_bauzugderpdmuncheberg#2,gv_pzkpfwIIIslashIV#3,gv_sturmpanzerII#3,gv_gwpanther#1,gv_marderII#1,gv_wespe#1,gp_feldmedizinerder14pd#3</t>
  </si>
  <si>
    <t>Танковая дивизия «Клаузевиц»#gh_divisionclausewitz,gv_pzkpfwIIluchs#3,so_budbditelnym#3,sv_btsv#3,go_inderstaub#2,gp_nachschubzugder9pd#3,gv_jagdpziv#2,go_arbeitedufuerdensieg#3,go_winterhifswerk#3,go_rauftdeutcheware#1,go_volkssturm#3,go_deutchlandbefreiung#1,gp_bauzugderpdmuncheberg#2,so_boltyunnahodkadlyashpiona#2,gv_pzkpfwIIIslashIV#1,gv_sturmpanzerII#3,go_kampfbiszumende#2,gp_feldmedizinerder14pd#3</t>
  </si>
  <si>
    <t>11-я воздушно-десантная дивизия#uh_11thairbornedivision,sv_btsv#1,sv_a32#3,gv_t15#3,uv_m10#3,uv_m12#1,gv_88pak43jagdtiger#1,uv_m6#2,sv_valentine2#1,gv_pzkpfws35739f#2,uv_m4a2e4#3,sv_churchill3#3,uv_t26e4#1,sv_is6#2,gv_lowe#2,uv_t30#3,gv_pzkpfwVpanther#2,uv_m26pershing#1,uv_t32#1,uv_t28prot#1,uv_m44#1,up_mortarsof17division#2,gv_gwtiger#1</t>
  </si>
  <si>
    <t>3-я Краснознамённая дивизия#sh_3yakrasnoznamennayadivisiya,sv_su14#1,sp_pogranichniki12dagectanskoidivizii#1,gv_pzkpfwIV#1,gv_vk3001(p)#2,go_arbeitedufuerdensieg#1,gv_jagdtiger#1,go_rauftdeutcheware#3,gv_jagdpanther#1,gv_lowe#2,sv_s51#1,gv_gwpanther#2,so_nashedelopravoevragbudetrazbit#1,sv_kv1#1,sv_su100#1,sv_t34#1,gv_vk3002(db)#1,sv_su8#1,sp_saperiukrainskogofronta#1,go_inderstaub#1,sv_su152#1,gv_hummel#2,sv_is6#2,gv_jagdpziv#1,so_slavageroyampartizanam#1,gv_grille#1,gv_ferdinand#2,gp_bauzugderpdmuncheberg#2,gv_gwtiger#1,gv_pzkpfwVItiger#1,gp_feldmedizinerder14pd#2</t>
  </si>
  <si>
    <t>Танковая дивизия «Клаузевиц»#gh_divisionclausewitz,gv_pzkpfwIIluchs#1,so_budbditelnym#2,up_mortarsof17division#1,gp_divisiondingenieureschlesien#1,gp_panzertunkerderpdholstein#2,go_vaterlandodertod#3,go_inderstaub#2,gp_nachschubzugder9pd#2,go_arbeitedufuerdensieg#3,go_winterhifswerk#3,gv_jagdtiger#1,gv_pzkpfwVIbtigerII#1,sv_ob704#1,sp_telephonisty30divisiinkvd#1,go_volkssturm#2,go_politruklzhet#3,go_deutchlandbefreiung#1,gv_sturmpanzerII#3,gv_lowe#1,uo_thismanisyoufriend#3,gv_maus#1,gp_feldmedizinerder14pd#2</t>
  </si>
  <si>
    <t>4-я Кантемировская дивизия#sh_4kantemirovskayadivisiya,sv_bt2#1,sv_su14#2,so_budbditelnym#3,sv_t26#1,sv_su100#3,sv_t34#5,sv_su18#3,so_nashisilyneischislimy#3,sv_su76#3,sv_su5#1,sv_ms1#3,sv_su26#3,sv_mk7tetrarch#1,sv_matilda4#3,sv_at1#1,sv_kv220#3,sv_kv1s#1</t>
  </si>
  <si>
    <t>1ход</t>
  </si>
  <si>
    <t>1х + 2 дмг</t>
  </si>
  <si>
    <t>Fight 15</t>
  </si>
  <si>
    <t>Штаб ат 59</t>
  </si>
  <si>
    <t>Обратка 13</t>
  </si>
  <si>
    <t>Dm+m</t>
  </si>
  <si>
    <t>Танковая дивизия «Клаузевиц»#gh_divisionclausewitz,so_budbditelnym#3,up_mortarsof17division#1,gp_panzertunkerderpdholstein#2,go_vaterlandodertod#3,so_nashisilyneischislimy#3,gp_nachschubzugder9pd#3,go_arbeitedufuerdensieg#3,go_winterhifswerk#3,sp_telephonisty30divisiinkvd#1,gv_pzkpfwVIbtigerII#1,gv_pzkpfwVpanther#1,go_politruklzhet#3,go_derstirnderfaust#3,gv_sturmpanzerII#3,gv_lowe#2,uo_thismanisyoufriend#3,gp_feldmedizinerder14pd#2</t>
  </si>
  <si>
    <t>41-я танковая дивизия#sh_41ayatankovayadivisiya,gv_pzkpfwIIluchs#3,sv_su14#2,sp_strelkiuzhnogofronta#1,so_boltatvragupomogat#3,so_beynasmert#3,sv_t34#9,sp_saperiukrainskogofronta#3,sv_t3485#2,go_vaterlandodertod#3,gv_lowe#2,gv_gwtiger#2,gv_pzkpfwVItiger#1,sp_telephonisty30divisiinkvd#1,uv_m26pershing#1,gv_ferdinand#3,gv_pzkpfw38h735f#1</t>
  </si>
  <si>
    <t>11-я воздушно-десантная дивизия#uh_11thairbornedivision,sv_churchill3#2,so_boltatvragupomogat#2,uv_t28prot#1,sv_isu152#1,sv_a32#3,uo_thekeytothesituation#3,uv_m26pershing#1,sv_ob704#1,uv_m10#3,gv_pzkpfwVpanther#2,uo_freedomshallprevail#3,up_sniperplatoonofthe82division#3,up_fieldsignalersofcontinentalarmy#2,gv_88pak43jagdtiger#1,uv_m44#1,uv_t40#3,gv_gwtiger#2,uv_t32#1,uv_m6#2,uv_t30#3</t>
  </si>
  <si>
    <t>Танковая дивизия «Мюнхеберг»#gh_pzgrmuncheberg,sv_btsv#3,gv_pzkpfws35739f#3,gv_vk3001(p)#2,uv_m22locust#3,sv_a32#3,sv_is6#2,gv_hummel#2,gv_t15#2,go_rauftdeutcheware#3,gv_ferdinand#2,gv_jagdpanther#1,sv_mk7tetrarch#1,sv_valentine2#3,gp_bauzugderpdmuncheberg#2,gv_lowe#3,gv_gwpanther#2,gv_pzkpfw38h735f#2,sv_s51#1</t>
  </si>
  <si>
    <t>Танковая дивизия «Гольштейн»#gh_divisionholstein,gv_pzkpfwIIluchs#2,gv_vk3002(db)#3,gv_vk3001(p)#1,sv_a32#1,gp_nachschubzugder9pd#2,gv_hummel#3,gv_t15#2,go_arbeitedufuerdensieg#1,gv_pzkpfwVIbtigerII#1,gv_jagdtiger#2,gv_gwtypee#1,gv_pzkpfwVpanther#2,up_sniperplatoonofthe82division#3,go_deutchlandbefreiung#3,gv_88pak43jagdtiger#1,gv_sturmpanzerII#3,gv_lowe#2,gv_maus#1,gv_gwtiger#2,gv_gwpanther#2,gv_pzkpfwVItiger#1,gv_wespe#1</t>
  </si>
  <si>
    <t>Танковая дивизия «Мюнхеберг»#gh_pzgrmuncheberg,sv_su14#1,sv_kv1#1,so_nashedelopravoevragbudetrazbit#1,sp_pogranichniki12dagectanskoidivizii#1,gv_vk3002(db)#1,sp_saperiukrainskogofronta#1,gv_pzkpfws35739f#3,sv_a32#3,sv_su152#1,sv_is6#2,gv_hummel#2,gv_jagdtiger#1,go_rauftdeutcheware#3,gv_jagdpanther#1,gv_ferdinand#2,gp_bauzugderpdmuncheberg#2,gv_88pak43jagdtiger#3,gv_lowe#3,gv_gwtiger#1,sv_s51#2,gv_gwpanther#2,gv_pzkpfwVItiger#1,gp_feldmedizinerder14pd#2</t>
  </si>
  <si>
    <t>60-я танковая дивизия#sh_60ayatankovayadivisiya,sv_kv1#2,sv_churchill3#1,sv_su100#2,so_boltatvragupomogat#3,sp_artilleristy17bobruiskoydivizii#1,sv_t34#2,sp_saperiukrainskogofronta#3,sv_isu152#1,gv_pzkpfws35739f#1,sv_a32#1,sv_su5#1,gv_t15#2,gv_jagdtiger#3,sp_telephonisty30divisiinkvd#1,sv_ob704#1,gv_pzkpfwVpanther#2,gv_gwtypee#1,up_sniperplatoonofthe82division#3,so_nazapad#2,sp_voenniyecriminalisty#1,gp_bauzugderpdmuncheberg#1,gv_gwtiger#2,gv_gwpanther#1,gp_feldmedizinerder14pd#1,uv_m6#1</t>
  </si>
  <si>
    <t>10-я горная дивизия#uh_10thmountaindivision,uv_m36slugger#1,so_budbditelnym#3,gv_pzb2#3,uv_m2mediumtank#1,uo_thekeytothesituation#3,sp_telephonisty30divisiinkvd#1,uv_m10#3,uo_freedomshallprevail#3,up_sniperplatoonofthe82division#3,uv_m12#1,uo_backthemwithmoremetal#3,uv_m5stuart#1,uo_thismanisyoufriend#3,uv_t40#3,uv_m7priest#3,uv_t30#2,uv_t28prot#1,uv_t32#1,up_mortarsof17division#1</t>
  </si>
  <si>
    <t>Танковая дивизия «Гольштейн»#gh_divisionholstein,gv_pzkpfwIIluchs#3,so_budbditelnym#3,gv_vk3002(db)#2,gv_pzb2#3,sv_a32#2,gp_nachschubzugder9pd#2,gv_t15#3,go_arbeitedufuerdensieg#1,gv_jagdtiger#2,gv_pzkpfwVIbtigerII#1,gv_pzkpfwVpanther#2,gv_gwtypee#1,up_sniperplatoonofthe82division#3,go_deutchlandbefreiung#3,gv_88pak43jagdtiger#1,gv_sturmpanzerII#3,gv_maus#1,gv_gwtiger#1,gv_gwpanther#2,gv_wespe#1</t>
  </si>
  <si>
    <t>Танковая дивизия «Мюнхеберг»#gh_pzgrmuncheberg,gv_vk3002(db)#1,gp_panzertunkerderpdholstein#3,gv_vk3001(p)#2,sv_is6#2,gv_hummel#2,gv_jagdpziv#1,go_winterhifswerk#1,go_rauftdeutcheware#3,gv_grille#1,gv_ferdinand#1,gv_jagdpanther#1,go_volkssturm#3,gp_bauzugderpdmuncheberg#2,gv_lowe#3,gp_feldmedizinerder14pd#2,go_flammenwerfervor#1,go_arbeitedufuerdensieg#1,gv_pzkpfwIV#1,gv_88pak43jagdtiger#3,gv_t15#3,sv_btsv#3</t>
  </si>
  <si>
    <t>Танковая дивизия «Гольштейн»#gh_divisionholstein,so_budbditelnym#2,gv_vk3002(db)#2,gv_pzb2#2,sv_a32#3,gp_nachschubzugder9pd#2,gv_t15#3,go_arbeitedufuerdensieg#1,gv_jagdtiger#2,gv_pzkpfwVIbtigerII#1,gv_pzkpfwVpanther#2,gv_gwtypee#1,up_sniperplatoonofthe82division#3,go_deutchlandbefreiung#3,sv_kv220#1,gv_88pak43jagdtiger#1,gv_sturmpanzerII#3,gv_lowe#1,gv_maus#2,gv_gwtiger#2,gv_gwpanther#2,gv_wespe#1</t>
  </si>
  <si>
    <t>Танковая дивизия «Ютербог»#gh_pdjuterbog,sp_vzvodtilovovoobespecheniya8armii#3,gv_pzkpfw38(t)#3,sv_su18#3,sv_btsv#3,gv_hummel#1,gp_nachaichtrnbrigadeder1pd#3,gv_hetzer#3,gv_pzkpfwII#3,sv_valentine2#3,gp_fernschreiberderpdkurmark#1,gv_leichttraktor#1,gp_bauzugderpdmuncheberg#1,uv_t2lt#2,gv_sturmpanzerII#1,gv_pzkpfw35(t)#3,gv_marderII#3,gv_pzkpfw38h735f#3</t>
  </si>
  <si>
    <t>Muncheberg Power 24#gh_pzgrmuncheberg,gv_pzkpfwIIluchs#3,so_udarmolota#3,gp_panzertunkerderpdholstein#1,go_vaterlandodertod#3,go_inderstaub#2,gp_nachschubzugder9pd#2,gv_hummel#1,go_arbeitedufuerdensieg#1,gv_jagdtiger#1,go_rauftdeutcheware#2,gv_pzkpfwVpanther#1,go_volkssturm#3,gv_pzkpfwII#2,gv_leichttraktor#2,gp_bauzugderpdmuncheberg#1,gv_sturmpanzerII#3,go_kampfbiszumende#3,gv_gwtiger#2,gv_gwpanther#1,gv_pzkpfw35(t)#3</t>
  </si>
  <si>
    <t>Hummels#gh_pdjuterbog,sp_vzvodtilovovoobespecheniya8armii#3,gv_pzkpfw38(t)#3,sv_su18#3,sv_btsv#3,gv_hummel#3,gp_nachaichtrnbrigadeder1pd#3,gv_hetzer#1,gv_pzkpfwII#3,sv_valentine2#3,gp_fernschreiberderpdkurmark#1,gv_leichttraktor#1,gp_bauzugderpdmuncheberg#1,uv_t2lt#2,gv_sturmpanzerII#1,gv_pzkpfw35(t)#3,gv_marderII#3,gv_pzkpfw38h735f#3</t>
  </si>
  <si>
    <t>NoArt#gh_divisionholstein,sv_ob212#1,so_budbditelnym#1,gv_vk3002(db)#1,gv_pzb2#2,sv_a32#3,go_inderstaub#3,gp_nachschubzugder9pd#2,gv_t15#3,go_arbeitedufuerdensieg#1,gv_pzkpfwVIbtigerII#1,gv_jagdtiger#3,gv_jagdpanther#1,gv_pzkpfwVpanther#2,gv_hetzer#1,go_deutchlandbefreiung#3,sv_kv220#1,gv_88pak43jagdtiger#1,go_kampfbiszumende#3,gv_lowe#2,gv_maus#2,gv_pzkpfwVItiger#1,uv_m6#2</t>
  </si>
  <si>
    <t>Танковая дивизия «Ютербог»#gh_pdjuterbog,gv_pzkpfwIIluchs#3,gv_pzkpfwVpanther#3,gv_sturmpanzerIbison#3,gv_marderII#3,go_rauftdeutcheware#1,gv_leichttraktor#2,gv_pzkpfwII#3,gv_pzkpfw35(t)#2,gv_hummel#2,gv_gwpanther#2,gv_lowe#1,gv_sturmpanzerII#3,gv_pzkpfwIIIslashIV#3,gv_pzkpfw38h735f#3,sv_btsv#1,gv_ferdinand#3,gv_gwtiger#2</t>
  </si>
  <si>
    <t>Танковая дивизия «Курмарк»#gh_divisionkurmark,gv_pzkpfwIIluchs#2,so_budbditelnym#3,sp_vzvodtilovovoobespecheniya8armii#2,sp_artilleristy17bobruiskoydivizii#3,gv_pzb2#2,sv_su18#1,gp_divisiondingenieureschlesien#1,uv_ramII#2,sv_btsv#1,gp_nachaichtrnbrigadeder1pd#3,sv_mk7tetrarch#1,gv_pzkpfwII#3,gp_fernschreiberderpdkurmark#3,sv_kv220#2,gv_sturmpanzerII#2,gv_pzkpfwIIIslashIV#1,gv_sturmpanzerIbison#2,gv_pzkpfw35(t)#1,gv_marderII#3,gp_auskundschaftersderpdmuncheberg#2</t>
  </si>
  <si>
    <t>Танковая дивизия «Курмарк»#gh_divisionkurmark,sv_ob212#1,so_budbditelnym#3,gv_pzb2#3,sv_su18#2,uv_ramII#3,gv_t25#1,sv_a32#1,uv_t14#1,gv_jagdtiger#1,gv_gwtypee#1,gv_pzkpfwVpanther#2,sv_matilda4#1,uo_freedomshallprevail#3,up_telephonistsofexpeditionaryforces#2,sv_kv220#2,gv_pzkpfwIIIslashIV#2,gv_maus#3,gv_gwtiger#1,gv_gwpanther#3,gp_auskundschaftersderpdmuncheberg#3,gv_pzkpfwII#1</t>
  </si>
  <si>
    <t>Arb#gh_divisionkurmark,gv_pzkpfwIIluchs#3,so_budbditelnym#3,sv_btsv#3,go_inderstaub#2,gp_nachschubzugder9pd#2,gv_jagdpziv#2,go_arbeitedufuerdensieg#3,go_winterhifswerk#3,go_rauftdeutcheware#1,go_deutchlandbefreiung#2,gp_bauzugderpdmuncheberg#2,so_boltyunnahodkadlyashpiona#2,gv_pzkpfwIIIslashIV#1,gv_sturmpanzerII#3,go_kampfbiszumende#2,gp_feldmedizinerder14pd#3,gv_pzkpfw35(t)#2,gv_lowe#1</t>
  </si>
  <si>
    <t>Танковая дивизия «Курмарк»#gh_divisionkurmark,sv_ob212#2,so_budbditelnym#3,gv_pzb2#3,sv_su18#2,uv_ramII#2,gv_t25#2,sv_ms1#2,gv_gwtypee#1,gv_pzkpfwVpanther#3,sv_matilda4#2,up_telephonistsofexpeditionaryforces#3,sv_kv220#2,gv_pzkpfwIIIslashIV#1,gv_maus#3,gv_gwpanther#1,gv_pzkpfw35(t)#3,gv_marderII#2,gp_auskundschaftersderpdmuncheberg#3</t>
  </si>
  <si>
    <t>21-й танковый батальон#sh_21tankoviybatallion,sv_churchill3#3,so_budbditelnym#3,sp_vzvodtilovovoobespecheniya8armii#2,sv_t34#2,gv_pzb2#3,sv_su18#3,uv_ramII#3,gv_t25#1,sv_a32#3,uv_t14#2,gv_t15#3,sv_matilda4#1,sv_kv220#3,uv_m4a2e4#3,gv_gwpanther#1,gp_auskundschaftersderpdmuncheberg#3,sv_kv1s#1</t>
  </si>
  <si>
    <t>21-й танковый батальон#sh_21tankoviybatallion,sv_ob212#2,sv_churchill3#3,sv_kv1#3,so_budbditelnym#3,sp_vzvodtilovovoobespecheniya8armii#1,sv_t34#1,gv_pzb2#3,sv_su18#3,uv_ramII#3,gv_t25#1,sv_a32#3,uv_t14#1,gv_t15#3,sv_matilda4#1,sv_kv220#3,uv_m4a2e4#3,gp_auskundschaftersderpdmuncheberg#3</t>
  </si>
  <si>
    <t>4-я Кантемировская дивизия#sh_4kantemirovskayadivisiya,sv_t127#2,so_budbditelnym#3,so_boltatvragupomogat#3,sp_vzvodtilovovoobespecheniya8armii#2,gv_pzb2#3,uv_ramII#3,gv_t25#1,sv_su5#1,sv_ms1#3,so_otstoimmoskvu#2,uv_t14#2,uv_t110e4#2,sp_telephonisty30divisiinkvd#1,sv_matilda4#3,sp_strelkiuzhnogofronta#1,sv_kv220#3,uo_thismanisyoufriend#3,gp_auskundschaftersderpdmuncheberg#2</t>
  </si>
  <si>
    <t>T30 Force#uh_3airbornetankbattalion,uv_m36slugger#3,uo_tovictory#3,uv_t28prot#1,uv_t26e4#1,up_mortarsof17division#2,uv_m2mediumtank#1,sv_a32#1,uo_anappealtoyou#1,uo_thekeytothesituation#3,uv_m10#3,uo_freedomshallprevail#2,up_sniperplatoonofthe82division#3,uv_m12#1,uv_m37#3,uo_backthemwithmoremetal#3,uv_m41#1,uv_m5stuart#1,uv_t40#3,uv_m6#1,uv_t30#3</t>
  </si>
  <si>
    <t>Muncheberg Power 24#gh_pzgrmuncheberg,gv_pzkpfwIIluchs#2,sp_vzvodtilovovoobespecheniya8armii#2,gv_vk3002(db)#1,sv_btsv#3,go_vaterlandodertod#3,go_inderstaub#1,gp_nachschubzugder9pd#2,go_arbeitedufuerdensieg#3,so_takbilotakbudet#1,go_rauftdeutcheware#3,gv_jagdtiger#1,gv_gwtypee#1,gv_ferdinand#2,gv_pzkpfwVpanther#3,gv_pzkpfwII#3,gv_sturmpanzerIbison#2,gv_lowe#1,gv_gwtiger#2,gv_pzkpfw35(t)#1,gv_marderII#3</t>
  </si>
  <si>
    <t>Танковая дивизия «Силезия»#gh_divisionschlesien,sv_t28#1,sv_t127#1,sp_pogranichniki12dagectanskoidivizii#1,gv_vk3002(db)#1,gp_panzertunkerderpdholstein#3,gv_vk3001(p)#2,go_inderstaub#1,sv_is6#2,gv_hummel#2,gv_jagdpziv#1,go_winterhifswerk#1,gv_grille#1,go_rauftdeutcheware#3,gv_pzkpfwVIbtigerII#1,go_volkssturm#3,gv_jagdpanther#1,gp_bauzugderpdmuncheberg#1,sv_kv220#1,gv_sturmpanzerII#3,sv_t3485#1,go_kampfbiszumende#1,gv_lowe#2,sv_s51#1,gv_gwpanther#2,gp_feldmedizinerder14pd#2,go_flammenwerfervor#1</t>
  </si>
  <si>
    <t>41-я танковая дивизия#sh_41ayatankovayadivisiya,sv_su14#2,gv_pzkpfwIIluchs#3,sp_vzvodtilovovoobespecheniya8armii#3,so_beynasmert#2,so_boltatvragupomogat#2,sv_t34#9,sp_saperiukrainskogofronta#3,go_vaterlandodertod#3,sp_telephonisty30divisiinkvd#1,gv_ferdinand#3,gv_pzkpfwII#1,sp_strelkiuzhnogofronta#1,gv_leichttraktor#2,gv_lowe#1,gv_gwtiger#2,gv_pzkpfw38h735f#2</t>
  </si>
  <si>
    <t>CCCP#sh_3yakrasnoznamennayadivisiya,sv_bt2#1,sv_su14#2,so_budbditelnym#3,sv_t26#1,sv_su100#3,sv_t34#5,sv_su18#3,so_nashisilyneischislimy#3,sv_su76#3,sv_su5#1,sv_ms1#3,sv_su26#3,sv_mk7tetrarch#1,sv_matilda4#3,sv_at1#1,sv_kv220#3,sv_kv1s#1</t>
  </si>
  <si>
    <t>CCCP#sh_3yakrasnoznamennayadivisiya,sv_su14#3,sv_kv1#3,so_boltatvragupomogat#3,sp_vzvodtilovovoobespecheniya8armii#3,sv_su100#2,sv_t34#2,sv_su8#2,sv_su18#2,so_nashisilyneischislimy#3,sp_razvedchikibeloruskogofronta#2,sv_su76#3,sv_su5#2,sv_ob704#1,sv_su122a#1,sv_mk7tetrarch#1,sv_matilda4#1,sv_valentine2#1,sv_is1#1,sv_s51#3,sv_t44#1</t>
  </si>
  <si>
    <t>41-я танковая дивизия#sh_41ayatankovayadivisiya,so_budbditelnym#3,sv_su100#1,so_boltatvragupomogat#3,sp_vzvodtilovovoobespecheniya8armii#3,sv_t34#3,sv_su18#2,sp_saperiukrainskogofronta#3,sv_btsv#3,sv_a32#1,sp_razvedchikibeloruskogofronta#1,sv_su76#3,uv_t110e4#2,sv_ob704#1,gv_gwtypee#1,sp_voenniyecriminalisty#1,gv_leichttraktor#3,so_boltyunnahodkadlyashpiona#1,gv_sturmpanzerII#1,gv_gwtiger#1,gp_auskundschaftersderpdmuncheberg#2,sv_t44#1</t>
  </si>
  <si>
    <t>Танковая дивизия «Мюнхеберг»#gh_pzgrmuncheberg,so_rodinamatzovet#1,so_nashedelopravoevragbudetrazbit#1,sv_btsv#3,gv_pzkpfws35739f#3,gv_vk3001(p)#2,uv_m22locust#2,sv_a32#3,sv_is6#2,gv_hummel#2,go_rauftdeutcheware#3,gv_pzkpfwVIbtigerII#1,gv_jagdpanther#1,gv_ferdinand#2,sv_mk7tetrarch#1,go_politruklzhet#1,sv_valentine2#3,gp_bauzugderpdmuncheberg#2,gv_lowe#2,gv_gwpanther#2,gv_pzkpfw38h735f#3</t>
  </si>
  <si>
    <t>7-й танковый корпус#sh_7tankoviikorpus,sv_churchill3#1,so_budbditelnym#3,sp_artilleristy17bobruiskoydivizii#3,sp_vzvodtilovovoobespecheniya8armii#2,sv_t34#1,gv_pzb2#2,gp_divisiondingenieureschlesien#1,sp_saperiukrainskogofronta#1,uv_ramII#2,gv_t25#2,sv_su76#3,so_vzyatcel#2,uv_t14#2,gv_pzkpfwII#1,sv_matilda4#2,sp_voenniyecriminalisty#1,so_nazapad#3,sv_kv220#2,sv_t3485#1,sv_s51#1,gp_auskundschaftersderpdmuncheberg#3,sv_t46#1</t>
  </si>
  <si>
    <t>7-й танковый корпус#sh_7tankoviikorpus,so_budbditelnym#3,so_boltatvragupomogat#3,sp_vzvodtilovovoobespecheniya8armii#1,sv_t34#3,gv_pzb2#3,uv_ramII#2,sv_btsv#1,sv_is7#3,sv_ms1#3,sv_su76#3,sv_is6#2,uv_m26pershing#1,sv_matilda4#1,up_telephonistsofexpeditionaryforces#2,sv_kv220#2,uv_t2lt#3,gp_auskundschaftersderpdmuncheberg#2,sv_t46#2</t>
  </si>
  <si>
    <t>7-й танковый корпус#sh_7tankoviikorpus,so_budbditelnym#3,so_boltatvragupomogat#3,sp_vzvodtilovovoobespecheniya8armii#2,sv_t34#3,gv_pzb2#3,sv_btsv#1,sv_su76#3,sv_is7#3,sv_ms1#3,sv_is6#2,uv_m26pershing#1,sp_telephonisty30divisiinkvd#1,sv_matilda4#1,up_telephonistsofexpeditionaryforces#2,sv_kv220#2,uv_t2lt#3,gp_auskundschaftersderpdmuncheberg#2,sv_t46#2</t>
  </si>
  <si>
    <t>7-й танковый корпус#sh_7tankoviikorpus,so_budbditelnym#3,so_boltatvragupomogat#1,sp_vzvodtilovovoobespecheniya8armii#2,sv_t34#2,gv_pzb2#3,sv_su76#3,sv_is7#3,sv_ms1#3,sv_is6#2,uv_m26pershing#1,sp_telephonisty30divisiinkvd#1,sv_matilda4#2,up_telephonistsofexpeditionaryforces#2,sv_kv220#3,uv_t2lt#3,gp_auskundschaftersderpdmuncheberg#2,sv_t46#2,uv_ramII#2</t>
  </si>
  <si>
    <t>7-й танковый корпус#sh_7tankoviikorpus,so_budbditelnym#3,sp_vzvodtilovovoobespecheniya8armii#3,gv_pzb2#3,uv_ramII#3,gv_t25#1,sv_is7#3,sv_ms1#3,sv_su76#1,sv_is6#2,uv_t14#2,uv_m26pershing#1,sp_telephonisty30divisiinkvd#1,sv_matilda4#2,up_telephonistsofexpeditionaryforces#3,sv_kv220#3,uv_t2lt#3,gp_auskundschaftersderpdmuncheberg#3</t>
  </si>
  <si>
    <t>7-й танковый корпус#sh_7tankoviikorpus,sv_kv1#3,sp_artilleristy17bobruiskoydivizii#3,sp_vzvodtilovovoobespecheniya8armii#2,gv_pzb2#3,sv_su76#3,sv_is7#3,sv_is6#3,gv_pzkpfwII#3,up_telephonistsofexpeditionaryforces#1,sp_voenniyecriminalisty#2,gp_fernschreiberderpdkurmark#1,sp_strelkiuzhnogofronta#1,sv_kv220#3,uv_m4a2e4#3,gv_gwtiger#1,uv_t32#1,gv_pzkpfwVItiger#1,gp_auskundschaftersderpdmuncheberg#1,uv_m6#2</t>
  </si>
  <si>
    <t>Танковая дивизия «Курмарк»#gh_divisionkurmark,sv_ob212#1,so_budbditelnym#3,gv_vk3002(db)#1,gv_pzb2#3,uv_ramII#3,gv_t25#2,sv_ms1#1,gv_jagdtiger#1,gv_pzkpfwVpanther#3,gv_gwtypee#1,sv_matilda4#1,gv_pzkpfwII#3,up_telephonistsofexpeditionaryforces#2,go_deutchlandbefreiung#3,gv_pzkpfwIIIslashIV#1,gv_sturmpanzerII#1,gv_maus#3,gv_gwtiger#1,gv_gwpanther#2,gv_pzkpfw35(t)#1,gv_marderII#1,gp_auskundschaftersderpdmuncheberg#2</t>
  </si>
  <si>
    <t>Танковая дивизия «Курмарк»#gh_divisionkurmark,go_tagderwehrmacht#3,so_budbditelnym#3,gv_pzb2#3,sv_su18#1,uv_ramII#3,gv_t25#2,sv_ms1#2,uv_t14#2,uv_t18#2,gv_pzkpfwII#3,sv_matilda4#3,uv_t1lt#1,up_telephonistsofexpeditionaryforces#3,sv_kv220#3,gv_maus#3,gp_auskundschaftersderpdmuncheberg#3</t>
  </si>
  <si>
    <t>Танковая дивизия «Курмарк»#gh_divisionkurmark,go_tagderwehrmacht#3,so_budbditelnym#3,gv_pzb2#3,sv_su18#3,uv_ramII#3,gv_t25#3,sv_ms1#3,uv_t18#2,sv_matilda4#3,sp_strelkiuzhnogofronta#3,sv_kv220#3,go_kameradderarbeit#1,gv_maus#1,gp_auskundschaftersderpdmuncheberg#3,uv_t14#3</t>
  </si>
  <si>
    <t>7-й танковый корпус#sh_7tankoviikorpus,sv_t28#3,sv_bt2#1,sv_t26#3,sp_vzvodtilovovoobespecheniya8armii#1,sv_t34#1,sv_su18#2,sv_a32#3,sv_su76#3,sv_is7#3,sv_is6#2,sp_telephonisty30divisiinkvd#1,gv_pzkpfwII#2,sp_voenniyecriminalisty#1,up_telephonistsofexpeditionaryforces#1,sp_strelkiuzhnogofronta#1,gv_leichttraktor#2,sv_at1#3,uv_t2lt#3,gv_88pak43jagdtiger#2,sv_s51#1,gp_auskundschaftersderpdmuncheberg#1</t>
  </si>
  <si>
    <t>Танковая дивизия «Клаузевиц»#gh_divisionclausewitz,gv_pzkpfwIIluchs#3,so_budbditelnym#1,up_mortarsof17division#1,gp_divisiondingenieureschlesien#1,gp_panzertunkerderpdholstein#2,sv_btsv#3,go_inderstaub#2,gp_nachschubzugder9pd#2,gv_jagdpziv#2,go_arbeitedufuerdensieg#3,go_winterhifswerk#3,gv_pzkpfwVIbtigerII#1,sp_telephonisty30divisiinkvd#1,go_volkssturm#3,go_politruklzhet#3,gv_sturmpanzerII#3,gv_lowe#1,uo_thismanisyoufriend#3,gp_feldmedizinerder14pd#2</t>
  </si>
  <si>
    <t>Танковая дивизия «Клаузевиц»#gh_divisionclausewitz,gv_pzkpfwIIluchs#2,so_budbditelnym#3,up_mortarsof17division#1,gp_divisiondingenieureschlesien#1,gp_panzertunkerderpdholstein#2,gp_nachschubzugder9pd#3,go_arbeitedufuerdensieg#3,go_winterhifswerk#3,so_takbilotakbudet#3,gv_pzkpfwVIbtigerII#1,go_politruklzhet#3,go_deutchlandbefreiung#2,go_derstirnderfaust#3,so_boltyunnahodkadlyashpiona#3,gv_lowe#2,uo_thismanisyoufriend#3,gp_feldmedizinerder14pd#2</t>
  </si>
  <si>
    <t>Танковая дивизия «Мюнхеберг»#gh_pzgrmuncheberg,sv_btsv#3,gv_pzkpfws35739f#3,uv_m22locust#3,sv_a32#3,gv_t15#3,sv_mk7tetrarch#1,sv_valentine2#3,gv_lowe#1,gv_pzkpfw38h735f#2,gv_leichttraktor#3,uv_t1lt#3,sv_ms1#3,uv_ramII#3,gv_t25#3,sv_matilda4#2,gv_pzb2#1</t>
  </si>
  <si>
    <t>2-й танковый батальон#uh_2armoredbattalion,so_budbditelnym#3,sp_vzvodtilovovoobespecheniya8armii#3,uo_imcountingonyou#1,gv_pzb2#3,uv_ramII#3,sv_ms1#3,uv_m40slashm43#1,uv_m26pershing#2,gv_gwtypee#1,sv_matilda4#1,up_sniperplatoonofthe82division#3,up_telephonistsofexpeditionaryforces#3,sp_strelkiuzhnogofronta#3,uv_t2lt#1,uv_m37#2,uv_m5stuart#1,gv_gwtiger#2,uv_t32#1,gp_auskundschaftersderpdmuncheberg#3</t>
  </si>
  <si>
    <t>11-я воздушно-десантная дивизия#uh_11thairbornedivision,sv_churchill3#2,uo_workorperish#1,so_boltatvragupomogat#2,sv_btsv#2,sv_a32#3,uv_m40slashm43#1,uv_t110e4#1,uo_thekeytothesituation#3,gv_t15#3,gv_pzkpfwVpanther#2,uv_m10#3,up_sniperplatoonofthe82division#3,uo_freedomshallprevail#3,up_fieldsignalersofcontinentalarmy#2,uv_m4a2e4#2,uv_t40#3,uv_m6#1,uv_t30#3</t>
  </si>
  <si>
    <t>11-я воздушно-десантная дивизия#uh_11thairbornedivision,so_boltatvragupomogat#3,uv_t28prot#1,sv_a32#2,uo_thekeytothesituation#2,gv_t15#1,up_volunteersof29infantryregiment#1,gv_jagdtiger#1,uv_m10#3,gv_pzkpfwVpanther#2,uo_freedomshallprevail#2,up_sniperplatoonofthe82division#3,up_fieldsignalersofcontinentalarmy#2,gv_88pak43jagdtiger#1,uv_m44#1,gv_gwtiger#2,uv_t32#1,uv_m6#2,uv_t30#3,uv_m40slashm43#1,uv_t110e4#2,sv_ob212#2,gv_maus#2</t>
  </si>
  <si>
    <t>60-я танковая дивизия#sh_60ayatankovayadivisiya,sv_ob212#1,sv_kv1#3,gv_pzb2#3,uv_ramII#3,gv_t25#3,sv_su76#3,gp_nachschubzugder9pd#1,uv_t14#3,gv_t15#2,gv_pzkpfwII#3,sv_matilda4#3,up_telephonistsofexpeditionaryforces#2,gv_leichttraktor#2,sv_kv220#3,gv_lowe#1,gv_pzkpfw35(t)#2,gp_auskundschaftersderpdmuncheberg#2</t>
  </si>
  <si>
    <t>Танковая дивизия «Силезия»#gh_divisionschlesien,gv_pzkpfwIIluchs#2,gv_pzkpfwIV#1,gv_vk3002(db)#3,up_mortarsof17division#2,gp_nachschubzugder9pd#2,go_arbeitedufuerdensieg#3,go_winterhifswerk#3,gv_jagdtiger#3,gv_pzkpfwVpanther#2,go_politruklzhet#3,go_derstirnderfaust#1,gv_sturmpanzerII#1,gv_sturmpanzerIbison#3,uo_thismanisyoufriend#3,gv_gwpanther#1,gv_pzkpfw35(t)#1,gv_marderII#3,gv_wespe#3</t>
  </si>
  <si>
    <t>Танковая дивизия «Силезия»#gh_divisionschlesien,gv_vk3002(db)#2,gv_pzb2#2,gv_jagdpze100#2,gp_nachschubzugder9pd#3,go_arbeitedufuerdensieg#2,gv_pzkpfwVIbtigerII#1,gv_jagdtiger#2,gv_gwtypee#1,gv_pzkpfwII#3,go_politruklzhet#3,go_derstirnderfaust#2,gv_lowe#2,uo_thismanisyoufriend#3,gv_gwtiger#2,gv_gwpanther#2,go_inderstaub#3,up_sniperplatoonofthe82division#3,gv_wespe#1,gv_pzkpfwIIIslashIV#1</t>
  </si>
  <si>
    <t>Танковая дивизия «Курмарк»#gh_divisionkurmark,go_tagderwehrmacht#3,so_budbditelnym#3,gv_pzb2#3,sv_su18#3,uv_ramII#3,gv_t25#3,sv_ms1#3,sv_matilda4#3,sp_strelkiuzhnogofronta#3,sv_kv220#3,go_kameradderarbeit#1,gv_maus#2,gp_auskundschaftersderpdmuncheberg#3,uv_t14#3,gv_pzkpfw35(t)#1</t>
  </si>
  <si>
    <t>Танковая дивизия «Ютербог»#gh_pdjuterbog,gv_pzkpfwIIluchs#1,gv_pzkpfwIV#1,go_vaterlandodertod#3,gp_nachschubzugder9pd#2,go_arbeitedufuerdensieg#3,go_rauftdeutcheware#3,gv_jagdtiger#3,gv_pzkpfwVpanther#3,go_volkssturm#3,gv_pzkpfwII#2,gv_leichttraktor#3,go_derstirnderfaust#2,go_kampfbiszumende#3,gv_gwtiger#1,gv_gwpanther#1,gv_marderII#2,gv_wespe#2,gv_pzkpfw38h735f#2</t>
  </si>
  <si>
    <t>Arta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</si>
  <si>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110#uh_3airbornetankbattalion,uv_m36slugger#3,so_boltatvragupomogat#3,uv_t28prot#1,up_mortarsof17division#1,uv_m40slashm43#1,uo_anappealtoyou#1,uv_t110e4#2,uo_thekeytothesituation#3,sp_telephonisty30divisiinkvd#1,gv_gwtypee#1,uv_m10#3,up_sniperplatoonofthe82division#3,uo_freedomshallprevail#3,gv_88pak43jagdtiger#1,uo_backthemwithmoremetal#3,uo_thismanisyoufriend#3,uv_t40#3,uv_t32#1,uv_t30#3</t>
  </si>
  <si>
    <t>Art#gh_pzgrmuncheberg,gv_pzkpfwIIluchs#3,sp_vzvodtilovovoobespecheniya8armii#2,gp_nachschubzugder9pd#2,gv_hummel#2,go_rauftdeutcheware#3,gv_pzkpfwII#2,uo_freedomshallprevail#3,sv_ob261#3,gv_leichttraktor#2,uv_t2lt#2,gv_sturmpanzerII#3,gv_gwtiger#2,gv_gwpanther#2,gv_pzkpfw35(t)#3,gv_marderII#3,gv_pzkpfw38h735f#3</t>
  </si>
  <si>
    <t>Art#gh_pzgrmuncheberg,gv_pzkpfwIIluchs#3,sp_vzvodtilovovoobespecheniya8armii#2,gv_pzb2#2,gp_nachschubzugder9pd#2,gv_hummel#1,go_arbeitedufuerdensieg#2,go_rauftdeutcheware#3,gv_pzkpfwII#2,uo_freedomshallprevail#3,sv_ob261#3,go_derstirnderfaust#2,uv_t2lt#1,gv_sturmpanzerII#2,gv_gwtiger#2,gv_gwpanther#3,gv_pzkpfw35(t)#1,gv_marderII#3,gv_pzkpfw38h735f#3</t>
  </si>
  <si>
    <t>Танковая дивизия «Гольштейн»#gh_divisionholstein,sv_ob212#1,gv_vk3002(db)#1,sv_a32#3,go_inderstaub#3,gp_nachschubzugder9pd#3,gv_t15#3,go_arbeitedufuerdensieg#1,gv_pzkpfwVIbtigerII#1,gv_jagdtiger#3,gv_pzkpfwVpanther#2,gv_gwtypee#1,go_deutchlandbefreiung#3,gv_88pak43jagdtiger#1,go_kampfbiszumende#3,gv_lowe#2,gv_maus#3,gv_gwtiger#2,gv_gwpanther#2,gv_pzkpfwVItiger#1,uv_m6#1</t>
  </si>
  <si>
    <t>110-3#uh_3airbornetankbattalion,uv_m36slugger#3,so_boltatvragupomogat#1,uv_t28prot#1,gv_pzb2#3,sv_su18#3,up_mortarsof17division#1,uo_anappealtoyou#1,uv_t110e4#2,uo_thekeytothesituation#2,sp_telephonisty30divisiinkvd#1,uv_m10#3,sv_matilda4#3,uo_freedomshallprevail#2,up_sniperplatoonofthe82division#3,sv_kv220#1,uv_t2lt#1,uo_backthemwithmoremetal#1,uo_thismanisyoufriend#1,uv_t40#3,uv_t32#1,uv_t30#3</t>
  </si>
  <si>
    <t>501#uh_3airbornetankbattalion,uv_m36slugger#1,up_mortarsof17division#1,uv_ramII#3,uv_m2mediumtank#3,gv_t25#1,sv_ms1#1,uv_t14#1,uv_t110e4#2,uo_thekeytothesituation#3,sp_telephonisty30divisiinkvd#1,sv_matilda4#1,up_sniperplatoonofthe82division#3,uo_freedomshallprevail#3,up_telephonistsofexpeditionaryforces#1,uv_m12#2,sv_kv220#1,uo_backthemwithmoremetal#1,uv_m3stuart#1,uo_thismanisyoufriend#1,uv_t32#2,up_crewof501airdefensebattalion#2,uv_m2lighttank#2,uv_m7priest#2,uv_t30#1</t>
  </si>
  <si>
    <t>Танковая дивизия «Курмарк»#gh_divisionkurmark,go_tagderwehrmacht#3,so_budbditelnym#3,gv_pzb2#3,sv_su18#1,uv_ramII#3,gv_t25#3,sv_ms1#3,uv_t14#1,gv_pzkpfwVpanther#2,gv_pzkpfwII#2,sv_matilda4#3,up_telephonistsofexpeditionaryforces#3,sv_kv220#3,gv_maus#3,gv_pzkpfw35(t)#1,gp_auskundschaftersderpdmuncheberg#3</t>
  </si>
  <si>
    <t>Танковая дивизия «Курмарк»#gh_divisionkurmark,gv_pzb2#3,sv_su18#2,uv_ramII#3,gv_t25#2,sv_ms1#3,uv_t14#2,gv_jagdtiger#1,gv_gwtypee#1,gv_pzkpfwVpanther#2,sv_matilda4#3,up_telephonistsofexpeditionaryforces#3,gv_leichttraktor#2,sv_kv220#3,gv_maus#3,gv_gwpanther#1,gv_pzkpfw35(t)#1,gp_auskundschaftersderpdmuncheberg#3,sv_ob212#2</t>
  </si>
  <si>
    <t>T57</t>
  </si>
  <si>
    <t>(g) +1C if this</t>
  </si>
  <si>
    <t>(g) this to deck</t>
  </si>
  <si>
    <t>v all</t>
  </si>
  <si>
    <t>1 at t H</t>
  </si>
  <si>
    <t>include</t>
  </si>
  <si>
    <t>exclude</t>
  </si>
  <si>
    <t>(at PtA) +2d</t>
  </si>
  <si>
    <t>Mask#uh_11mechanizedreconnaissancesquadron,uv_m36slugger#2,sv_ob212#1,so_boltatvragupomogat#2,gp_divisiondingenieureschlesien#1,up_mortarsof17division#2,sv_a32#3,uo_thekeytothesituation#2,uv_m26pershing#2,gv_pzkpfwVpanther#3,uo_freedomshallprevail#2,up_sniperplatoonofthe82division#3,up_telephonistsofexpeditionaryforces#3,sp_voenniyecriminalisty#1,uv_m46patton#1,uv_t2lt#2,uv_m5stuart#3,uv_t32#3,uv_m6#3,uv_t30#1</t>
  </si>
  <si>
    <t>21-й танковый батальон#sh_21tankoviybatallion,sv_ob212#3,sv_kv1#3,so_budbditelnym#3,sp_vzvodtilovovoobespecheniya8armii#2,sv_t34#1,gv_pzb2#3,sv_su18#3,uv_ramII#3,sv_a32#3,gv_t15#1,sv_su26#2,gv_pzkpfwVpanther#3,sv_matilda4#1,up_telephonistsofexpeditionaryforces#1,sp_strelkiuzhnogofronta#1,sv_kv220#2,uv_m4a2e4#3,gp_auskundschaftersderpdmuncheberg#2</t>
  </si>
  <si>
    <t>7-й танковый корпус#sh_7tankoviikorpus,so_budbditelnym#3,sp_vzvodtilovovoobespecheniya8armii#3,sv_t26#3,so_udarmolota#3,sv_su18#3,uv_ramII#3,gv_t25#3,sv_ms1#3,so_takbilotakbudet#2,uv_t18#2,sv_matilda4#3,so_nazapad#2,sp_strelkiuzhnogofronta#2,gp_auskundschaftersderpdmuncheberg#2,sv_t46#3</t>
  </si>
  <si>
    <t>Maus#uh_11mechanizedreconnaissancesquadron,sv_ob212#2,go_tagderwehrmacht#3,so_budbditelnym#3,gv_pzb2#3,sv_su18#2,uv_ramII#2,gv_t25#2,sv_ms1#3,uv_t14#2,gv_jagdtiger#1,gv_gwtypee#1,gv_pzkpfwVpanther#3,sv_matilda4#2,up_telephonistsofexpeditionaryforces#2,gv_leichttraktor#1,sv_kv220#2,gv_maus#3,gp_auskundschaftersderpdmuncheberg#3</t>
  </si>
  <si>
    <t>cHp</t>
  </si>
  <si>
    <t>cm</t>
  </si>
  <si>
    <t>cDm+cm</t>
  </si>
  <si>
    <t>cDm</t>
  </si>
  <si>
    <t>Dm+m/балансный вес</t>
  </si>
  <si>
    <t>T30 Force#uh_3airbornetankbattalion,go_tagderwehrmacht#3,so_budbditelnym#3,gv_pzb2#2,sv_su18#3,up_mortarsof17division#2,uv_ramII#2,uv_m40slashm43#1,uv_t14#2,uv_t110e4#2,sp_telephonisty30divisiinkvd#1,uv_m10#3,up_telephonistsofexpeditionaryforces#2,uv_t57#2,sv_kv220#1,uv_t2lt#2,uv_m44#2,gp_auskundschaftersderpdmuncheberg#3,uv_m7priest#1,uv_t30#3</t>
  </si>
  <si>
    <t>JgE100#gh_divisionschlesien,gv_pzkpfwIIluchs#1,so_budbditelnym#3,gv_vk3002(db)#2,gv_pzb2#3,gv_t25#3,gv_jagdpze100#2,gp_nachschubzugder9pd#3,gv_hummel#3,go_arbeitedufuerdensieg#1,gv_jagdtiger#2,gv_pzkpfwII#3,gv_leichttraktor#3,go_derstirnderfaust#1,gv_sturmpanzerII#2,gv_gwtiger#2,gv_gwpanther#3,gv_pzkpfw35(t)#1,gv_marderII#2</t>
  </si>
  <si>
    <t>dis M</t>
  </si>
  <si>
    <t>Танковая дивизия «Курмарк»#gh_divisionkurmark,sv_ob212#1,gv_vk3002(db)#1,go_inderstaub#3,gv_jagdpze100#2,gp_nachschubzugder9pd#2,uv_t110e4#2,gv_jagdtiger#3,gv_gwtypee#1,gv_pzkpfwVpanther#3,up_sniperplatoonofthe82division#2,go_deutchlandbefreiung#3,uv_m46patton#1,gv_maus#3,gv_gwtiger#2,gv_gwpanther#2,so_boltatvragupomogat#3,uo_thekeytothesituation#3,uo_freedomshallprevail#1,go_arbeitedufuerdensieg#2</t>
  </si>
  <si>
    <t>3+2</t>
  </si>
  <si>
    <t>6+3</t>
  </si>
  <si>
    <t>4+6</t>
  </si>
  <si>
    <t>tHd</t>
  </si>
  <si>
    <t>2+1+2</t>
  </si>
  <si>
    <t>0+1+2</t>
  </si>
  <si>
    <t>2+7</t>
  </si>
  <si>
    <t>1+5</t>
  </si>
  <si>
    <t>соп сдался</t>
  </si>
  <si>
    <t>70ходо соп декнулся</t>
  </si>
  <si>
    <t>я декнулся</t>
  </si>
  <si>
    <t>wint</t>
  </si>
  <si>
    <t>polit</t>
  </si>
  <si>
    <t>бдит</t>
  </si>
  <si>
    <t>med</t>
  </si>
  <si>
    <t>+</t>
  </si>
  <si>
    <t>Танковая дивизия «Мюнхеберг»#gh_pzgrmuncheberg,sv_kv1#1,so_nashedelopravoevragbudetrazbit#1,sp_pogranichniki12dagectanskoidivizii#1,gv_vk3002(db)#1,sp_saperiukrainskogofronta#1,gv_pzkpfws35739f#3,sv_a32#3,sv_su152#1,sv_is6#2,gv_hummel#2,gv_jagdtiger#1,gv_pzkpfwVIbtigerII#1,go_rauftdeutcheware#3,gv_jagdpanther#1,gv_ferdinand#2,gp_bauzugderpdmuncheberg#2,gv_88pak43jagdtiger#3,gv_lowe#3,gv_gwtiger#1,sv_s51#2,gv_gwpanther#2,gv_pzkpfwVItiger#1,gp_feldmedizinerder14pd#2</t>
  </si>
  <si>
    <t>Танковая дивизия «Клаузевиц»#gh_divisionclausewitz,gv_pzkpfwIIluchs#2,so_budbditelnym#1,up_mortarsof17division#1,go_vaterlandodertod#3,gv_jagdpze100#2,gp_nachschubzugder9pd#3,uo_thekeytothesituation#3,go_arbeitedufuerdensieg#3,go_winterhifswerk#3,gv_pzkpfwVIbtigerII#1,gv_gwtypee#1,go_politruklzhet#3,go_deutchlandbefreiung#2,go_derstirnderfaust#2,gv_lowe#2,uo_thismanisyoufriend#3,gv_maus#3,gp_feldmedizinerder14pd#2</t>
  </si>
  <si>
    <t>получ мюнх</t>
  </si>
  <si>
    <t>11 Squadron 27#uh_11mechanizedreconnaissancesquadron,sv_ob212#1,sv_kv1#2,uv_t110e4#2,gv_jagdtiger#1,uv_t25slash2#2,gv_gwtypee#1,gv_pzkpfwVpanther#3,uo_freedomshallprevail#3,uv_m46patton#1,uv_m3lee#1,gv_maus#3,uv_t32#3,gv_gwtiger#2,uv_m6#3,uv_m4a3e8sherman#9,uv_t30#3</t>
  </si>
  <si>
    <t>IS7#sh_7tankoviikorpus,go_tagderwehrmacht#3,so_budbditelnym#3,gv_pzb2#3,sv_su18#3,uv_ramII#3,gv_t25#3,sv_is7#1,sv_ms1#3,uv_t14#3,uv_t18#2,sv_matilda4#3,sp_strelkiuzhnogofronta#3,sv_kv220#3,go_kameradderarbeit#1,gp_auskundschaftersderpdmuncheberg#3</t>
  </si>
  <si>
    <t>261AT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</si>
  <si>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261AT#uh_2armoredbattalion,go_tagderwehrmacht#3,so_budbditelnym#3,uo_imcountingonyou#1,sp_vzvodtilovovoobespecheniya8armii#2,gv_pzb2#1,uv_ramII#1,gv_t25#1,uv_m26pershing#2,gv_gwtypee#1,sv_matilda4#1,up_sniperplatoonofthe82division#3,gp_fernschreiberderpdkurmark#2,sv_ob261#3,sp_strelkiuzhnogofronta#2,uv_m46patton#1,sv_kv220#1,uv_t2lt#2,uv_m37#3,uv_m44#2,gv_gwtiger#2,uv_t32#3</t>
  </si>
  <si>
    <t>261DEF#uh_2armoredbattalion,go_tagderwehrmacht#3,so_budbditelnym#3,uo_imcountingonyou#1,sp_vzvodtilovovoobespecheniya8armii#1,gv_pzb2#1,uv_m26pershing#3,sv_matilda4#1,up_sniperplatoonofthe82division#2,gp_fernschreiberderpdkurmark#1,sv_ob261#3,sp_strelkiuzhnogofronta#1,uv_m46patton#1,sv_kv220#1,uv_m37#3,uv_m44#2,gv_gwtiger#2,uv_t32#3,gp_auskundschaftersderpdmuncheberg#3,up_telephonistsofexpeditionaryforces#3,up_mortarsof17division#1,uv_t2lt#1</t>
  </si>
  <si>
    <t>41-я танковая дивизия#sh_41ayatankovayadivisiya,sv_su14#2,so_boltatvragupomogat#3,sv_t34#9,sp_saperiukrainskogofronta#3,go_vaterlandodertod#3,so_otstoimmoskvu#3,sp_telephonisty30divisiinkvd#1,gv_pzkpfwII#2,gv_leichttraktor#1,sp_strelkiuzhnogofronta#1,gv_pzkpfwIIIslashIV#3,sv_t3485#2,gv_lowe#1,gv_gwtiger#2,gv_pzkpfw38h735f#1,sv_ob704#1,uv_m26pershing#1,uv_t2lt#1</t>
  </si>
  <si>
    <t>41-я танковая дивизия#sh_41ayatankovayadivisiya,sv_su14#3,so_boltatvragupomogat#3,sv_t34#4,sp_saperiukrainskogofronta#2,so_otstoimmoskvu#2,sp_telephonisty30divisiinkvd#1,gv_pzkpfwII#1,gv_leichttraktor#3,sp_strelkiuzhnogofronta#1,gv_gwtiger#2,sv_t127#2,so_budbditelnym#3,so_udarmolota#3,gv_pzb2#3,uv_ramII#2,gp_auskundschaftersderpdmuncheberg#3,sp_vzvodtilovovoobespecheniya8armii#1,sv_ms1#1</t>
  </si>
  <si>
    <t>41-я танковая дивизия#sh_41ayatankovayadivisiya,so_rodinamatzovet#1,so_budbditelnym#1,sv_t26#3,sp_vzvodtilovovoobespecheniya8armii#2,so_udarmolota#3,sv_su8#2,sp_saperiukrainskogofronta#2,gv_t25#3,sv_ms1#3,sv_matilda4#3,so_nazapad#2,sp_strelkiuzhnogofronta#2,sv_kv220#3,sv_t3485#2,sv_s51#3,gp_auskundschaftersderpdmuncheberg#2,sv_t46#3</t>
  </si>
  <si>
    <t>41-я танковая дивизия#sh_41ayatankovayadivisiya,go_tagderwehrmacht#3,so_budbditelnym#3,sp_vzvodtilovovoobespecheniya8armii#3,gv_pzb2#3,so_udarmolota#3,sv_su18#3,uv_ramII#2,gv_t25#1,sv_ms1#2,so_otstoimmoskvu#3,sv_su26#3,sv_matilda4#2,up_telephonistsofexpeditionaryforces#3,sp_strelkiuzhnogofronta#1,gv_leichttraktor#1,gv_pzkpfw35(t)#1,gp_auskundschaftersderpdmuncheberg#3</t>
  </si>
  <si>
    <t>12m4a3e8#uh_11mechanizedreconnaissancesquadron,sv_ob212#3,up_telephonistsofexpeditionaryforces#3,go_tagderwehrmacht#3,so_budbditelnym#3,gv_pzb2#3,sv_kv220#1,uv_m37#3,uv_t14#1,gp_auskundschaftersderpdmuncheberg#3,gv_pzkpfwVpanther#2,uo_freedomshallprevail#3,uv_m4a3e8sherman#12</t>
  </si>
  <si>
    <t>PT#uh_11mechanizedreconnaissancesquadron,sv_ob212#1,so_budbditelnym#3,so_boltatvragupomogat#3,uv_t28prot#2,gv_pzb2#1,uv_ramII#1,uv_m2mediumtank#1,sv_a32#3,uv_t110e4#2,uo_thekeytothesituation#3,uv_m10#3,uo_freedomshallprevail#2,up_telephonistsofexpeditionaryforces#1,uv_m12#1,uo_avengedecember7#1,uv_t2lt#1,uv_m37#2,uv_t40#3,gp_auskundschaftersderpdmuncheberg#2,uv_m6#1,uv_t30#3</t>
  </si>
  <si>
    <t>xMana#uh_3airbornetankbattalion,gv_pzb2#3,uv_m2mediumtank#3,uv_t110e4#2,uo_enlistinthewaves#1,uo_thekeytothesituation#3,sp_telephonisty30divisiinkvd#2,uv_m10#3,uo_freedomshallprevail#1,up_sniperplatoonofthe82division#3,uv_m12#2,uv_t2lt#1,uv_m3lee#2,uo_backthemwithmoremetal#2,uv_t1heavy#2,uo_thismanisyoufriend#3,uv_t32#3,up_crewof501airdefensebattalion#2,uv_t30#2</t>
  </si>
  <si>
    <t>cD+H</t>
  </si>
  <si>
    <t>Танковая дивизия «Силезия»#gh_divisionschlesien,sp_pogranichniki12dagectanskoidivizii#2,gv_vk3002(db)#3,gv_pzkpfw38(t)#3,sv_kv5#1,sv_a32#3,gv_jagdpze100#2,uv_t110e5#1,gp_nachschubzugder9pd#3,go_arbeitedufuerdensieg#1,sp_telephonisty30divisiinkvd#2,gv_jagdtiger#3,gv_gwtypee#1,go_politruklzhet#3,go_derstirnderfaust#1,gv_lowe#2,gv_maus#3,gv_gwtiger#2,gv_gwpanther#2,gv_pzkpfwVItiger#1,sv_t44#1</t>
  </si>
  <si>
    <t>Танковая дивизия «Силезия»#gh_divisionschlesien,gv_panzerjagerI#1,gv_pzb2#3,gv_pzkpfw38(t)#3,gv_vk3002(db)#3,gv_t25#3,sv_a32#3,gp_nachschubzugder9pd#2,go_arbeitedufuerdensieg#1,uv_t18#3,go_politruklzhet#3,sp_strelkiuzhnogofronta#2,go_derstirnderfaust#2,sv_kv220#2,gv_gwtiger#2,gv_pzkpfw35(t)#2,gv_marderII#2,gv_wespe#3</t>
  </si>
  <si>
    <t>+1C</t>
  </si>
  <si>
    <t>Танковая дивизия «Клаузевиц»#gh_divisionclausewitz,go_tagderwehrmacht#2,so_budbditelnym#3,so_udarmolota#3,gv_pzb2#3,gv_vk3002(db)#3,gp_divisiondingenieureschlesien#1,gp_nachschubzugder9pd#3,go_arbeitedufuerdensieg#3,go_winterhifswerk#3,so_takbilotakbudet#1,go_politruklzhet#1,up_telephonistsofexpeditionaryforces#2,sp_strelkiuzhnogofronta#2,so_boltyunnahodkadlyashpiona#3,go_derstirnderfaust#3,gv_lowe#1,gp_auskundschaftersderpdmuncheberg#3</t>
  </si>
  <si>
    <t>Танковая дивизия «Силезия»#gh_divisionschlesien,so_budbditelnym#3,gv_panzerjagerI#2,gv_pzkpfw38(t)#3,gv_vk3002(db)#3,uv_ramII#2,gv_t25#3,sv_a32#3,gp_nachschubzugder9pd#2,gv_jagdpziv#1,uv_t18#2,gv_pzkpfwII#1,go_politruklzhet#3,sp_strelkiuzhnogofronta#2,go_derstirnderfaust#2,gv_gwtiger#3,gv_pzkpfw35(t)#1,gv_marderII#1,gv_wespe#3</t>
  </si>
  <si>
    <t>n_basic_starter2#gh_trainingslager,gv_pzkpfwIIluchs#3,so_budbditelnym#3,gv_vk3002(db)#1,gv_pzb2#2,sv_btsv#3,sv_a32#2,go_arbeitedufuerdensieg#1,gp_nachaichtrnbrigadeder1pd#3,gv_pzkpfwVpanther#2,sv_mk7tetrarch#1,gv_pzkpfwII#3,up_telephonistsofexpeditionaryforces#1,gp_fernschreiberderpdkurmark#1,gp_bauzugderpdmuncheberg#2,gv_sturmpanzerII#3,gv_sturmpanzerIbison#3,gv_pzkpfw35(t)#3,gv_marderII#3</t>
  </si>
  <si>
    <t>Tig2#gh_trainingslager,go_tagderwehrmacht#1,so_budbditelnym#3,gv_panzerjagerI#1,gv_pzb2#3,so_udarmolota#3,sv_su18#3,uv_ramII#2,gv_t25#1,sv_ms1#3,gv_pzkpfwVIbtigerII#2,sv_matilda4#1,go_dersiegwirdunsersein#3,uv_t1lt#3,sp_strelkiuzhnogofronta#2,gv_leichttraktor#3,uv_t2lt#3,gv_pzkpfw35(t)#1,gp_auskundschaftersderpdmuncheberg#2</t>
  </si>
  <si>
    <t>(df) +1C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</si>
</sst>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1"/>
      <color theme="5" tint="-0.249977111117893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rgb="FFC00000"/>
      <name val="Calibri"/>
      <family val="2"/>
      <charset val="204"/>
      <scheme val="minor"/>
    </font>
    <font>
      <sz val="9"/>
      <color rgb="FF000000"/>
      <name val="Times New Roman"/>
      <family val="1"/>
      <charset val="204"/>
    </font>
    <font>
      <sz val="9"/>
      <color rgb="FF000000"/>
      <name val="Calibri"/>
      <family val="2"/>
      <charset val="204"/>
      <scheme val="minor"/>
    </font>
    <font>
      <sz val="9"/>
      <color theme="4" tint="-0.249977111117893"/>
      <name val="Calibri"/>
      <family val="2"/>
      <charset val="204"/>
      <scheme val="minor"/>
    </font>
    <font>
      <sz val="9"/>
      <color theme="9" tint="-0.249977111117893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0" xfId="0" applyNumberFormat="1"/>
    <xf numFmtId="0" fontId="0" fillId="0" borderId="0" xfId="0" applyNumberFormat="1"/>
    <xf numFmtId="49" fontId="0" fillId="0" borderId="1" xfId="0" applyNumberFormat="1" applyBorder="1"/>
    <xf numFmtId="49" fontId="0" fillId="0" borderId="0" xfId="0" applyNumberFormat="1" applyBorder="1"/>
    <xf numFmtId="49" fontId="0" fillId="0" borderId="2" xfId="0" applyNumberFormat="1" applyBorder="1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49" fontId="2" fillId="0" borderId="0" xfId="0" applyNumberFormat="1" applyFont="1"/>
    <xf numFmtId="0" fontId="3" fillId="0" borderId="0" xfId="0" applyFont="1"/>
    <xf numFmtId="49" fontId="3" fillId="0" borderId="0" xfId="0" applyNumberFormat="1" applyFont="1"/>
    <xf numFmtId="0" fontId="4" fillId="0" borderId="0" xfId="0" applyFont="1"/>
    <xf numFmtId="0" fontId="5" fillId="0" borderId="0" xfId="0" applyFont="1"/>
    <xf numFmtId="20" fontId="0" fillId="0" borderId="0" xfId="0" applyNumberFormat="1"/>
    <xf numFmtId="0" fontId="6" fillId="0" borderId="0" xfId="0" applyFont="1"/>
    <xf numFmtId="0" fontId="7" fillId="0" borderId="0" xfId="0" applyFont="1"/>
    <xf numFmtId="49" fontId="0" fillId="0" borderId="3" xfId="0" applyNumberFormat="1" applyBorder="1"/>
    <xf numFmtId="0" fontId="8" fillId="0" borderId="0" xfId="0" applyNumberFormat="1" applyFont="1"/>
    <xf numFmtId="49" fontId="1" fillId="0" borderId="1" xfId="0" applyNumberFormat="1" applyFont="1" applyBorder="1"/>
    <xf numFmtId="49" fontId="3" fillId="0" borderId="0" xfId="0" applyNumberFormat="1" applyFont="1" applyBorder="1"/>
    <xf numFmtId="0" fontId="0" fillId="0" borderId="0" xfId="0" applyFont="1"/>
    <xf numFmtId="49" fontId="0" fillId="0" borderId="0" xfId="0" applyNumberFormat="1" applyFont="1"/>
    <xf numFmtId="0" fontId="0" fillId="0" borderId="0" xfId="0" applyNumberFormat="1" applyFont="1"/>
    <xf numFmtId="0" fontId="9" fillId="0" borderId="0" xfId="0" applyFont="1"/>
    <xf numFmtId="0" fontId="9" fillId="2" borderId="0" xfId="0" applyFont="1" applyFill="1"/>
    <xf numFmtId="0" fontId="10" fillId="0" borderId="0" xfId="0" applyFont="1"/>
    <xf numFmtId="0" fontId="10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2" borderId="0" xfId="0" applyFont="1" applyFill="1"/>
    <xf numFmtId="0" fontId="11" fillId="2" borderId="0" xfId="0" applyFont="1" applyFill="1"/>
    <xf numFmtId="0" fontId="14" fillId="0" borderId="0" xfId="0" applyFont="1"/>
    <xf numFmtId="0" fontId="14" fillId="2" borderId="0" xfId="0" applyFont="1" applyFill="1"/>
    <xf numFmtId="49" fontId="2" fillId="0" borderId="0" xfId="0" applyNumberFormat="1" applyFont="1" applyBorder="1"/>
    <xf numFmtId="49" fontId="15" fillId="0" borderId="0" xfId="0" applyNumberFormat="1" applyFont="1"/>
    <xf numFmtId="0" fontId="15" fillId="0" borderId="0" xfId="0" applyNumberFormat="1" applyFont="1"/>
    <xf numFmtId="0" fontId="10" fillId="3" borderId="0" xfId="0" applyFont="1" applyFill="1"/>
    <xf numFmtId="0" fontId="13" fillId="3" borderId="0" xfId="0" applyFont="1" applyFill="1"/>
    <xf numFmtId="0" fontId="14" fillId="3" borderId="0" xfId="0" applyFont="1" applyFill="1"/>
    <xf numFmtId="0" fontId="10" fillId="0" borderId="0" xfId="0" applyFont="1" applyFill="1"/>
    <xf numFmtId="0" fontId="13" fillId="0" borderId="0" xfId="0" applyFont="1" applyFill="1"/>
    <xf numFmtId="0" fontId="14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0</xdr:row>
          <xdr:rowOff>161925</xdr:rowOff>
        </xdr:from>
        <xdr:to>
          <xdr:col>23</xdr:col>
          <xdr:colOff>295275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342900</xdr:colOff>
          <xdr:row>0</xdr:row>
          <xdr:rowOff>161925</xdr:rowOff>
        </xdr:from>
        <xdr:to>
          <xdr:col>24</xdr:col>
          <xdr:colOff>9525</xdr:colOff>
          <xdr:row>2</xdr:row>
          <xdr:rowOff>28575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161925</xdr:rowOff>
        </xdr:from>
        <xdr:to>
          <xdr:col>17</xdr:col>
          <xdr:colOff>333375</xdr:colOff>
          <xdr:row>2</xdr:row>
          <xdr:rowOff>28575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0</xdr:row>
          <xdr:rowOff>161925</xdr:rowOff>
        </xdr:from>
        <xdr:to>
          <xdr:col>18</xdr:col>
          <xdr:colOff>47625</xdr:colOff>
          <xdr:row>2</xdr:row>
          <xdr:rowOff>28575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/>
  <dimension ref="B2:AI120"/>
  <sheetViews>
    <sheetView tabSelected="1" zoomScaleNormal="100" workbookViewId="0">
      <selection activeCell="U49" sqref="U49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7" width="4.7109375" style="18" customWidth="1"/>
    <col min="18" max="18" width="9.28515625" style="17" customWidth="1"/>
    <col min="19" max="19" width="9.28515625" style="19" customWidth="1"/>
    <col min="20" max="20" width="9.28515625" style="20" customWidth="1"/>
    <col min="21" max="21" width="9.28515625" style="35" customWidth="1"/>
    <col min="22" max="22" width="9.28515625" style="3" customWidth="1"/>
    <col min="23" max="23" width="9.28515625" style="4" customWidth="1"/>
    <col min="24" max="24" width="9.28515625" style="5" customWidth="1"/>
    <col min="25" max="25" width="9.140625" style="1"/>
    <col min="26" max="26" width="9.140625" style="2"/>
    <col min="27" max="16384" width="9.140625" style="1"/>
  </cols>
  <sheetData>
    <row r="2" spans="2:35" x14ac:dyDescent="0.25">
      <c r="Y2" s="36" t="s">
        <v>505</v>
      </c>
      <c r="Z2" s="37" t="s">
        <v>506</v>
      </c>
    </row>
    <row r="3" spans="2:35" x14ac:dyDescent="0.25">
      <c r="Y3" s="1" t="s">
        <v>110</v>
      </c>
      <c r="AI3" s="1" t="s">
        <v>417</v>
      </c>
    </row>
    <row r="4" spans="2:35" x14ac:dyDescent="0.25">
      <c r="B4" s="1" t="s">
        <v>185</v>
      </c>
      <c r="C4" s="1" t="s">
        <v>184</v>
      </c>
      <c r="D4" s="2" t="s">
        <v>186</v>
      </c>
      <c r="E4" s="1" t="s">
        <v>187</v>
      </c>
      <c r="F4" s="2" t="s">
        <v>188</v>
      </c>
      <c r="G4" s="2" t="s">
        <v>189</v>
      </c>
      <c r="H4" s="2" t="s">
        <v>190</v>
      </c>
      <c r="I4" s="2" t="s">
        <v>191</v>
      </c>
      <c r="J4" s="18" t="s">
        <v>351</v>
      </c>
      <c r="K4" s="18" t="s">
        <v>515</v>
      </c>
      <c r="L4" s="18" t="s">
        <v>512</v>
      </c>
      <c r="M4" s="18" t="s">
        <v>513</v>
      </c>
      <c r="N4" s="18" t="s">
        <v>514</v>
      </c>
      <c r="O4" s="18" t="s">
        <v>438</v>
      </c>
      <c r="P4" s="18" t="s">
        <v>516</v>
      </c>
      <c r="Q4" s="18" t="s">
        <v>552</v>
      </c>
      <c r="R4" s="17" t="s">
        <v>192</v>
      </c>
      <c r="S4" s="19" t="s">
        <v>5</v>
      </c>
      <c r="T4" s="20" t="s">
        <v>6</v>
      </c>
      <c r="U4" s="35" t="s">
        <v>177</v>
      </c>
      <c r="V4" s="3" t="s">
        <v>21</v>
      </c>
      <c r="W4" s="4" t="s">
        <v>22</v>
      </c>
      <c r="X4" s="5" t="s">
        <v>23</v>
      </c>
      <c r="AB4" s="1" t="s">
        <v>16</v>
      </c>
      <c r="AC4" s="1" t="s">
        <v>64</v>
      </c>
      <c r="AG4" s="1" t="s">
        <v>399</v>
      </c>
      <c r="AH4" s="1" t="s">
        <v>416</v>
      </c>
    </row>
    <row r="5" spans="2:35" hidden="1" x14ac:dyDescent="0.25">
      <c r="B5" s="1" t="s">
        <v>296</v>
      </c>
      <c r="C5" s="1" t="s">
        <v>274</v>
      </c>
      <c r="D5" s="2">
        <v>10</v>
      </c>
      <c r="E5" s="2" t="s">
        <v>18</v>
      </c>
      <c r="F5" s="2">
        <v>12</v>
      </c>
      <c r="G5" s="2">
        <v>5</v>
      </c>
      <c r="H5" s="2">
        <v>16</v>
      </c>
      <c r="I5" s="2">
        <v>2</v>
      </c>
      <c r="J5" s="18">
        <f t="shared" ref="J5:J36" si="0">(G5+H5+I5)/F5</f>
        <v>1.9166666666666667</v>
      </c>
      <c r="K5" s="18">
        <f t="shared" ref="K5:K36" si="1">G5/F5</f>
        <v>0.41666666666666669</v>
      </c>
      <c r="L5" s="18">
        <f t="shared" ref="L5:L36" si="2">H5/F5</f>
        <v>1.3333333333333333</v>
      </c>
      <c r="M5" s="18">
        <f t="shared" ref="M5:M36" si="3">I5/F5</f>
        <v>0.16666666666666666</v>
      </c>
      <c r="N5" s="18">
        <f t="shared" ref="N5:N36" si="4">(G5+I5)/F5</f>
        <v>0.58333333333333337</v>
      </c>
      <c r="O5" s="18">
        <f t="shared" ref="O5:O36" si="5">G5+I5</f>
        <v>7</v>
      </c>
      <c r="P5" s="18">
        <f t="shared" ref="P5:P36" si="6">O5/D5</f>
        <v>0.7</v>
      </c>
      <c r="Q5" s="18">
        <f t="shared" ref="Q5:Q36" si="7">K5+L5</f>
        <v>1.75</v>
      </c>
      <c r="R5" s="17" t="s">
        <v>7</v>
      </c>
      <c r="T5" s="20" t="s">
        <v>297</v>
      </c>
      <c r="X5" s="5" t="s">
        <v>298</v>
      </c>
      <c r="Y5"/>
      <c r="AA5" s="2"/>
      <c r="AB5" s="1" t="s">
        <v>17</v>
      </c>
      <c r="AC5" s="1" t="s">
        <v>65</v>
      </c>
      <c r="AG5" s="1" t="s">
        <v>400</v>
      </c>
      <c r="AH5" s="1" t="s">
        <v>400</v>
      </c>
    </row>
    <row r="6" spans="2:35" hidden="1" x14ac:dyDescent="0.25">
      <c r="B6" s="1" t="s">
        <v>271</v>
      </c>
      <c r="C6" s="1" t="s">
        <v>106</v>
      </c>
      <c r="D6" s="2">
        <v>3</v>
      </c>
      <c r="E6" s="2" t="s">
        <v>16</v>
      </c>
      <c r="F6" s="2">
        <v>1</v>
      </c>
      <c r="G6" s="2">
        <v>1</v>
      </c>
      <c r="H6" s="2">
        <v>3</v>
      </c>
      <c r="I6" s="2">
        <v>1</v>
      </c>
      <c r="J6" s="18">
        <f t="shared" si="0"/>
        <v>5</v>
      </c>
      <c r="K6" s="18">
        <f t="shared" si="1"/>
        <v>1</v>
      </c>
      <c r="L6" s="18">
        <f t="shared" si="2"/>
        <v>3</v>
      </c>
      <c r="M6" s="18">
        <f t="shared" si="3"/>
        <v>1</v>
      </c>
      <c r="N6" s="18">
        <f t="shared" si="4"/>
        <v>2</v>
      </c>
      <c r="O6" s="18">
        <f t="shared" si="5"/>
        <v>2</v>
      </c>
      <c r="P6" s="18">
        <f t="shared" si="6"/>
        <v>0.66666666666666663</v>
      </c>
      <c r="Q6" s="18">
        <f t="shared" si="7"/>
        <v>4</v>
      </c>
      <c r="V6" s="3" t="s">
        <v>272</v>
      </c>
      <c r="Y6"/>
      <c r="AB6" s="1" t="s">
        <v>18</v>
      </c>
      <c r="AC6" s="1" t="s">
        <v>66</v>
      </c>
      <c r="AG6" s="1" t="s">
        <v>401</v>
      </c>
      <c r="AH6" s="1" t="s">
        <v>418</v>
      </c>
      <c r="AI6" s="1" t="s">
        <v>419</v>
      </c>
    </row>
    <row r="7" spans="2:35" hidden="1" x14ac:dyDescent="0.25">
      <c r="B7" s="1" t="s">
        <v>275</v>
      </c>
      <c r="C7" s="1" t="s">
        <v>274</v>
      </c>
      <c r="D7" s="2">
        <v>2</v>
      </c>
      <c r="E7" s="2" t="s">
        <v>16</v>
      </c>
      <c r="F7" s="2">
        <v>1</v>
      </c>
      <c r="G7" s="2">
        <v>1</v>
      </c>
      <c r="H7" s="2">
        <v>3</v>
      </c>
      <c r="I7" s="2">
        <v>1</v>
      </c>
      <c r="J7" s="18">
        <f t="shared" si="0"/>
        <v>5</v>
      </c>
      <c r="K7" s="18">
        <f t="shared" si="1"/>
        <v>1</v>
      </c>
      <c r="L7" s="18">
        <f t="shared" si="2"/>
        <v>3</v>
      </c>
      <c r="M7" s="18">
        <f t="shared" si="3"/>
        <v>1</v>
      </c>
      <c r="N7" s="18">
        <f t="shared" si="4"/>
        <v>2</v>
      </c>
      <c r="O7" s="18">
        <f t="shared" si="5"/>
        <v>2</v>
      </c>
      <c r="P7" s="18">
        <f t="shared" si="6"/>
        <v>1</v>
      </c>
      <c r="Q7" s="18">
        <f t="shared" si="7"/>
        <v>4</v>
      </c>
      <c r="T7" s="20" t="s">
        <v>43</v>
      </c>
      <c r="Y7"/>
      <c r="AB7" s="1" t="s">
        <v>59</v>
      </c>
      <c r="AC7" s="1" t="s">
        <v>67</v>
      </c>
      <c r="AG7" s="1" t="s">
        <v>402</v>
      </c>
      <c r="AH7" s="1" t="s">
        <v>415</v>
      </c>
      <c r="AI7" s="1" t="s">
        <v>420</v>
      </c>
    </row>
    <row r="8" spans="2:35" hidden="1" x14ac:dyDescent="0.25">
      <c r="B8" s="1">
        <v>268</v>
      </c>
      <c r="C8" s="1" t="s">
        <v>110</v>
      </c>
      <c r="D8" s="2">
        <v>10</v>
      </c>
      <c r="E8" s="1" t="s">
        <v>59</v>
      </c>
      <c r="F8" s="2">
        <v>8</v>
      </c>
      <c r="G8" s="2">
        <v>3</v>
      </c>
      <c r="H8" s="2">
        <v>16</v>
      </c>
      <c r="I8" s="2">
        <v>1</v>
      </c>
      <c r="J8" s="18">
        <f t="shared" si="0"/>
        <v>2.5</v>
      </c>
      <c r="K8" s="18">
        <f t="shared" si="1"/>
        <v>0.375</v>
      </c>
      <c r="L8" s="18">
        <f t="shared" si="2"/>
        <v>2</v>
      </c>
      <c r="M8" s="18">
        <f t="shared" si="3"/>
        <v>0.125</v>
      </c>
      <c r="N8" s="18">
        <f t="shared" si="4"/>
        <v>0.5</v>
      </c>
      <c r="O8" s="18">
        <f t="shared" si="5"/>
        <v>4</v>
      </c>
      <c r="P8" s="18">
        <f t="shared" si="6"/>
        <v>0.4</v>
      </c>
      <c r="Q8" s="18">
        <f t="shared" si="7"/>
        <v>2.375</v>
      </c>
      <c r="S8" s="19" t="s">
        <v>48</v>
      </c>
      <c r="X8" s="5" t="s">
        <v>7</v>
      </c>
      <c r="Y8"/>
      <c r="AB8" s="1" t="s">
        <v>42</v>
      </c>
      <c r="AC8" s="1" t="s">
        <v>68</v>
      </c>
      <c r="AG8" s="1" t="s">
        <v>403</v>
      </c>
      <c r="AH8" s="1" t="s">
        <v>414</v>
      </c>
      <c r="AI8" s="1" t="s">
        <v>421</v>
      </c>
    </row>
    <row r="9" spans="2:35" hidden="1" x14ac:dyDescent="0.25">
      <c r="B9" s="1" t="s">
        <v>8</v>
      </c>
      <c r="C9" s="1" t="s">
        <v>110</v>
      </c>
      <c r="D9" s="2">
        <v>5</v>
      </c>
      <c r="E9" s="2" t="s">
        <v>16</v>
      </c>
      <c r="F9" s="2">
        <v>4</v>
      </c>
      <c r="G9" s="2">
        <v>2</v>
      </c>
      <c r="H9" s="2">
        <v>5</v>
      </c>
      <c r="I9" s="2">
        <v>2</v>
      </c>
      <c r="J9" s="18">
        <f t="shared" si="0"/>
        <v>2.25</v>
      </c>
      <c r="K9" s="18">
        <f t="shared" si="1"/>
        <v>0.5</v>
      </c>
      <c r="L9" s="18">
        <f t="shared" si="2"/>
        <v>1.25</v>
      </c>
      <c r="M9" s="18">
        <f t="shared" si="3"/>
        <v>0.5</v>
      </c>
      <c r="N9" s="18">
        <f t="shared" si="4"/>
        <v>1</v>
      </c>
      <c r="O9" s="18">
        <f t="shared" si="5"/>
        <v>4</v>
      </c>
      <c r="P9" s="18">
        <f t="shared" si="6"/>
        <v>0.8</v>
      </c>
      <c r="Q9" s="18">
        <f t="shared" si="7"/>
        <v>1.75</v>
      </c>
      <c r="S9" s="19" t="s">
        <v>56</v>
      </c>
      <c r="Y9"/>
      <c r="AB9" s="1" t="s">
        <v>7</v>
      </c>
      <c r="AC9" s="1" t="s">
        <v>69</v>
      </c>
      <c r="AG9" s="1" t="s">
        <v>404</v>
      </c>
      <c r="AH9" s="1" t="s">
        <v>413</v>
      </c>
    </row>
    <row r="10" spans="2:35" x14ac:dyDescent="0.25">
      <c r="B10" s="1" t="s">
        <v>129</v>
      </c>
      <c r="C10" s="1" t="s">
        <v>110</v>
      </c>
      <c r="D10" s="2">
        <v>4</v>
      </c>
      <c r="E10" s="2" t="s">
        <v>17</v>
      </c>
      <c r="F10" s="2">
        <v>4</v>
      </c>
      <c r="G10" s="2">
        <v>2</v>
      </c>
      <c r="H10" s="2">
        <v>5</v>
      </c>
      <c r="I10" s="2">
        <v>2</v>
      </c>
      <c r="J10" s="18">
        <f t="shared" si="0"/>
        <v>2.25</v>
      </c>
      <c r="K10" s="18">
        <f t="shared" si="1"/>
        <v>0.5</v>
      </c>
      <c r="L10" s="18">
        <f t="shared" si="2"/>
        <v>1.25</v>
      </c>
      <c r="M10" s="18">
        <f t="shared" si="3"/>
        <v>0.5</v>
      </c>
      <c r="N10" s="18">
        <f t="shared" si="4"/>
        <v>1</v>
      </c>
      <c r="O10" s="18">
        <f t="shared" si="5"/>
        <v>4</v>
      </c>
      <c r="P10" s="18">
        <f t="shared" si="6"/>
        <v>1</v>
      </c>
      <c r="Q10" s="18">
        <f t="shared" si="7"/>
        <v>1.75</v>
      </c>
      <c r="R10" s="17" t="s">
        <v>43</v>
      </c>
      <c r="V10" s="3" t="s">
        <v>132</v>
      </c>
      <c r="X10" s="5" t="s">
        <v>261</v>
      </c>
      <c r="Y10"/>
      <c r="AB10" s="1" t="s">
        <v>43</v>
      </c>
      <c r="AC10" s="1" t="s">
        <v>70</v>
      </c>
      <c r="AG10" s="1" t="s">
        <v>405</v>
      </c>
      <c r="AH10" s="1" t="s">
        <v>412</v>
      </c>
    </row>
    <row r="11" spans="2:35" hidden="1" x14ac:dyDescent="0.25">
      <c r="B11" s="1" t="s">
        <v>196</v>
      </c>
      <c r="C11" s="1" t="s">
        <v>106</v>
      </c>
      <c r="D11" s="2">
        <v>4</v>
      </c>
      <c r="E11" s="2" t="s">
        <v>16</v>
      </c>
      <c r="F11" s="2">
        <v>2</v>
      </c>
      <c r="G11" s="2">
        <v>1</v>
      </c>
      <c r="H11" s="2">
        <v>4</v>
      </c>
      <c r="I11" s="2">
        <v>1</v>
      </c>
      <c r="J11" s="18">
        <f t="shared" si="0"/>
        <v>3</v>
      </c>
      <c r="K11" s="18">
        <f t="shared" si="1"/>
        <v>0.5</v>
      </c>
      <c r="L11" s="18">
        <f t="shared" si="2"/>
        <v>2</v>
      </c>
      <c r="M11" s="18">
        <f t="shared" si="3"/>
        <v>0.5</v>
      </c>
      <c r="N11" s="18">
        <f t="shared" si="4"/>
        <v>1</v>
      </c>
      <c r="O11" s="18">
        <f t="shared" si="5"/>
        <v>2</v>
      </c>
      <c r="P11" s="18">
        <f t="shared" si="6"/>
        <v>0.5</v>
      </c>
      <c r="Q11" s="18">
        <f t="shared" si="7"/>
        <v>2.5</v>
      </c>
      <c r="R11" s="17" t="s">
        <v>198</v>
      </c>
      <c r="U11" s="35" t="s">
        <v>75</v>
      </c>
      <c r="Y11"/>
      <c r="AB11" s="1" t="s">
        <v>41</v>
      </c>
      <c r="AC11" s="1" t="s">
        <v>71</v>
      </c>
      <c r="AG11" s="1" t="s">
        <v>406</v>
      </c>
      <c r="AH11" s="1" t="s">
        <v>411</v>
      </c>
      <c r="AI11" s="1" t="s">
        <v>411</v>
      </c>
    </row>
    <row r="12" spans="2:35" hidden="1" x14ac:dyDescent="0.25">
      <c r="B12" s="1" t="s">
        <v>269</v>
      </c>
      <c r="C12" s="1" t="s">
        <v>106</v>
      </c>
      <c r="D12" s="2">
        <v>3</v>
      </c>
      <c r="E12" s="2" t="s">
        <v>16</v>
      </c>
      <c r="F12" s="2">
        <v>2</v>
      </c>
      <c r="G12" s="2">
        <v>1</v>
      </c>
      <c r="H12" s="2">
        <v>5</v>
      </c>
      <c r="I12" s="2">
        <v>1</v>
      </c>
      <c r="J12" s="18">
        <f t="shared" si="0"/>
        <v>3.5</v>
      </c>
      <c r="K12" s="18">
        <f t="shared" si="1"/>
        <v>0.5</v>
      </c>
      <c r="L12" s="18">
        <f t="shared" si="2"/>
        <v>2.5</v>
      </c>
      <c r="M12" s="18">
        <f t="shared" si="3"/>
        <v>0.5</v>
      </c>
      <c r="N12" s="18">
        <f t="shared" si="4"/>
        <v>1</v>
      </c>
      <c r="O12" s="18">
        <f t="shared" si="5"/>
        <v>2</v>
      </c>
      <c r="P12" s="18">
        <f t="shared" si="6"/>
        <v>0.66666666666666663</v>
      </c>
      <c r="Q12" s="18">
        <f t="shared" si="7"/>
        <v>3</v>
      </c>
      <c r="U12" s="35" t="s">
        <v>270</v>
      </c>
      <c r="W12" s="4" t="s">
        <v>41</v>
      </c>
      <c r="Y12"/>
      <c r="AB12" s="1" t="s">
        <v>75</v>
      </c>
      <c r="AC12" s="1" t="s">
        <v>76</v>
      </c>
      <c r="AG12" s="1" t="s">
        <v>407</v>
      </c>
      <c r="AH12" s="1" t="s">
        <v>410</v>
      </c>
    </row>
    <row r="13" spans="2:35" hidden="1" x14ac:dyDescent="0.25">
      <c r="B13" s="1" t="s">
        <v>139</v>
      </c>
      <c r="C13" s="1" t="s">
        <v>110</v>
      </c>
      <c r="D13" s="2">
        <v>3</v>
      </c>
      <c r="E13" s="2" t="s">
        <v>16</v>
      </c>
      <c r="F13" s="2">
        <v>2</v>
      </c>
      <c r="G13" s="2">
        <v>1</v>
      </c>
      <c r="H13" s="2">
        <v>5</v>
      </c>
      <c r="I13" s="2">
        <v>1</v>
      </c>
      <c r="J13" s="18">
        <f t="shared" si="0"/>
        <v>3.5</v>
      </c>
      <c r="K13" s="18">
        <f t="shared" si="1"/>
        <v>0.5</v>
      </c>
      <c r="L13" s="18">
        <f t="shared" si="2"/>
        <v>2.5</v>
      </c>
      <c r="M13" s="18">
        <f t="shared" si="3"/>
        <v>0.5</v>
      </c>
      <c r="N13" s="18">
        <f t="shared" si="4"/>
        <v>1</v>
      </c>
      <c r="O13" s="18">
        <f t="shared" si="5"/>
        <v>2</v>
      </c>
      <c r="P13" s="18">
        <f t="shared" si="6"/>
        <v>0.66666666666666663</v>
      </c>
      <c r="Q13" s="18">
        <f t="shared" si="7"/>
        <v>3</v>
      </c>
      <c r="R13" s="17" t="s">
        <v>138</v>
      </c>
      <c r="Y13"/>
      <c r="AB13" s="1" t="s">
        <v>47</v>
      </c>
      <c r="AC13" s="1" t="s">
        <v>103</v>
      </c>
      <c r="AG13" s="1" t="s">
        <v>408</v>
      </c>
      <c r="AH13" s="1" t="s">
        <v>409</v>
      </c>
    </row>
    <row r="14" spans="2:35" hidden="1" x14ac:dyDescent="0.25">
      <c r="B14" s="1" t="s">
        <v>28</v>
      </c>
      <c r="C14" s="1" t="s">
        <v>110</v>
      </c>
      <c r="D14" s="2">
        <v>3</v>
      </c>
      <c r="E14" s="1" t="s">
        <v>59</v>
      </c>
      <c r="F14" s="2">
        <v>2</v>
      </c>
      <c r="G14" s="2">
        <v>1</v>
      </c>
      <c r="H14" s="2">
        <v>5</v>
      </c>
      <c r="I14" s="2">
        <v>1</v>
      </c>
      <c r="J14" s="18">
        <f t="shared" si="0"/>
        <v>3.5</v>
      </c>
      <c r="K14" s="18">
        <f t="shared" si="1"/>
        <v>0.5</v>
      </c>
      <c r="L14" s="18">
        <f t="shared" si="2"/>
        <v>2.5</v>
      </c>
      <c r="M14" s="18">
        <f t="shared" si="3"/>
        <v>0.5</v>
      </c>
      <c r="N14" s="18">
        <f t="shared" si="4"/>
        <v>1</v>
      </c>
      <c r="O14" s="18">
        <f t="shared" si="5"/>
        <v>2</v>
      </c>
      <c r="P14" s="18">
        <f t="shared" si="6"/>
        <v>0.66666666666666663</v>
      </c>
      <c r="Q14" s="18">
        <f t="shared" si="7"/>
        <v>3</v>
      </c>
      <c r="S14" s="19" t="s">
        <v>43</v>
      </c>
      <c r="Y14"/>
      <c r="AB14" s="1" t="s">
        <v>60</v>
      </c>
      <c r="AC14" s="1" t="s">
        <v>72</v>
      </c>
    </row>
    <row r="15" spans="2:35" hidden="1" x14ac:dyDescent="0.25">
      <c r="B15" s="1" t="s">
        <v>0</v>
      </c>
      <c r="C15" s="1" t="s">
        <v>110</v>
      </c>
      <c r="D15" s="2">
        <v>1</v>
      </c>
      <c r="E15" s="2" t="s">
        <v>16</v>
      </c>
      <c r="F15" s="2">
        <v>2</v>
      </c>
      <c r="G15" s="2">
        <v>1</v>
      </c>
      <c r="H15" s="2">
        <v>4</v>
      </c>
      <c r="I15" s="2">
        <v>1</v>
      </c>
      <c r="J15" s="18">
        <f t="shared" si="0"/>
        <v>3</v>
      </c>
      <c r="K15" s="18">
        <f t="shared" si="1"/>
        <v>0.5</v>
      </c>
      <c r="L15" s="18">
        <f t="shared" si="2"/>
        <v>2</v>
      </c>
      <c r="M15" s="18">
        <f t="shared" si="3"/>
        <v>0.5</v>
      </c>
      <c r="N15" s="18">
        <f t="shared" si="4"/>
        <v>1</v>
      </c>
      <c r="O15" s="18">
        <f t="shared" si="5"/>
        <v>2</v>
      </c>
      <c r="P15" s="18">
        <f t="shared" si="6"/>
        <v>2</v>
      </c>
      <c r="Q15" s="18">
        <f t="shared" si="7"/>
        <v>2.5</v>
      </c>
      <c r="Y15"/>
      <c r="AB15" s="1" t="s">
        <v>61</v>
      </c>
      <c r="AC15" s="1" t="s">
        <v>73</v>
      </c>
    </row>
    <row r="16" spans="2:35" hidden="1" x14ac:dyDescent="0.25">
      <c r="B16" s="1" t="s">
        <v>276</v>
      </c>
      <c r="C16" s="1" t="s">
        <v>274</v>
      </c>
      <c r="D16" s="2">
        <v>3</v>
      </c>
      <c r="E16" s="2" t="s">
        <v>16</v>
      </c>
      <c r="F16" s="2">
        <v>2</v>
      </c>
      <c r="G16" s="2">
        <v>1</v>
      </c>
      <c r="H16" s="2">
        <v>4</v>
      </c>
      <c r="I16" s="2">
        <v>1</v>
      </c>
      <c r="J16" s="18">
        <f t="shared" si="0"/>
        <v>3</v>
      </c>
      <c r="K16" s="18">
        <f t="shared" si="1"/>
        <v>0.5</v>
      </c>
      <c r="L16" s="18">
        <f t="shared" si="2"/>
        <v>2</v>
      </c>
      <c r="M16" s="18">
        <f t="shared" si="3"/>
        <v>0.5</v>
      </c>
      <c r="N16" s="18">
        <f t="shared" si="4"/>
        <v>1</v>
      </c>
      <c r="O16" s="18">
        <f t="shared" si="5"/>
        <v>2</v>
      </c>
      <c r="P16" s="18">
        <f t="shared" si="6"/>
        <v>0.66666666666666663</v>
      </c>
      <c r="Q16" s="18">
        <f t="shared" si="7"/>
        <v>2.5</v>
      </c>
      <c r="R16" s="17" t="s">
        <v>277</v>
      </c>
      <c r="T16" s="20" t="s">
        <v>278</v>
      </c>
      <c r="Y16"/>
      <c r="AB16" s="1" t="s">
        <v>85</v>
      </c>
      <c r="AC16" s="1" t="s">
        <v>86</v>
      </c>
    </row>
    <row r="17" spans="2:29" hidden="1" x14ac:dyDescent="0.25">
      <c r="B17" s="1" t="s">
        <v>286</v>
      </c>
      <c r="C17" s="1" t="s">
        <v>274</v>
      </c>
      <c r="D17" s="2">
        <v>9</v>
      </c>
      <c r="E17" s="2" t="s">
        <v>17</v>
      </c>
      <c r="F17" s="2">
        <v>7</v>
      </c>
      <c r="G17" s="2">
        <v>3</v>
      </c>
      <c r="H17" s="2">
        <v>8</v>
      </c>
      <c r="I17" s="2">
        <v>3</v>
      </c>
      <c r="J17" s="18">
        <f t="shared" si="0"/>
        <v>2</v>
      </c>
      <c r="K17" s="18">
        <f t="shared" si="1"/>
        <v>0.42857142857142855</v>
      </c>
      <c r="L17" s="18">
        <f t="shared" si="2"/>
        <v>1.1428571428571428</v>
      </c>
      <c r="M17" s="18">
        <f t="shared" si="3"/>
        <v>0.42857142857142855</v>
      </c>
      <c r="N17" s="18">
        <f t="shared" si="4"/>
        <v>0.8571428571428571</v>
      </c>
      <c r="O17" s="18">
        <f t="shared" si="5"/>
        <v>6</v>
      </c>
      <c r="P17" s="18">
        <f t="shared" si="6"/>
        <v>0.66666666666666663</v>
      </c>
      <c r="Q17" s="18">
        <f t="shared" si="7"/>
        <v>1.5714285714285714</v>
      </c>
      <c r="R17" s="17" t="s">
        <v>41</v>
      </c>
      <c r="T17" s="20" t="s">
        <v>43</v>
      </c>
      <c r="W17" s="4" t="s">
        <v>287</v>
      </c>
      <c r="Y17"/>
      <c r="AB17" s="1" t="s">
        <v>223</v>
      </c>
      <c r="AC17" s="1" t="s">
        <v>224</v>
      </c>
    </row>
    <row r="18" spans="2:29" hidden="1" x14ac:dyDescent="0.25">
      <c r="B18" s="1" t="s">
        <v>302</v>
      </c>
      <c r="C18" s="1" t="s">
        <v>274</v>
      </c>
      <c r="D18" s="2">
        <v>5</v>
      </c>
      <c r="E18" s="2" t="s">
        <v>59</v>
      </c>
      <c r="F18" s="2">
        <v>5</v>
      </c>
      <c r="G18" s="2">
        <v>2</v>
      </c>
      <c r="H18" s="2">
        <v>6</v>
      </c>
      <c r="I18" s="2">
        <v>2</v>
      </c>
      <c r="J18" s="18">
        <f t="shared" si="0"/>
        <v>2</v>
      </c>
      <c r="K18" s="18">
        <f t="shared" si="1"/>
        <v>0.4</v>
      </c>
      <c r="L18" s="18">
        <f t="shared" si="2"/>
        <v>1.2</v>
      </c>
      <c r="M18" s="18">
        <f t="shared" si="3"/>
        <v>0.4</v>
      </c>
      <c r="N18" s="18">
        <f t="shared" si="4"/>
        <v>0.8</v>
      </c>
      <c r="O18" s="18">
        <f t="shared" si="5"/>
        <v>4</v>
      </c>
      <c r="P18" s="18">
        <f t="shared" si="6"/>
        <v>0.8</v>
      </c>
      <c r="Q18" s="18">
        <f t="shared" si="7"/>
        <v>1.6</v>
      </c>
      <c r="T18" s="20" t="s">
        <v>19</v>
      </c>
      <c r="Y18"/>
      <c r="AB18" s="1" t="s">
        <v>100</v>
      </c>
      <c r="AC18" s="1" t="s">
        <v>101</v>
      </c>
    </row>
    <row r="19" spans="2:29" hidden="1" x14ac:dyDescent="0.25">
      <c r="B19" s="1" t="s">
        <v>226</v>
      </c>
      <c r="C19" s="1" t="s">
        <v>106</v>
      </c>
      <c r="D19" s="2">
        <v>4</v>
      </c>
      <c r="E19" s="2" t="s">
        <v>59</v>
      </c>
      <c r="F19" s="2">
        <v>3</v>
      </c>
      <c r="G19" s="2">
        <v>3</v>
      </c>
      <c r="H19" s="2">
        <v>4</v>
      </c>
      <c r="I19" s="2">
        <v>1</v>
      </c>
      <c r="J19" s="18">
        <f t="shared" si="0"/>
        <v>2.6666666666666665</v>
      </c>
      <c r="K19" s="18">
        <f t="shared" si="1"/>
        <v>1</v>
      </c>
      <c r="L19" s="18">
        <f t="shared" si="2"/>
        <v>1.3333333333333333</v>
      </c>
      <c r="M19" s="18">
        <f t="shared" si="3"/>
        <v>0.33333333333333331</v>
      </c>
      <c r="N19" s="18">
        <f t="shared" si="4"/>
        <v>1.3333333333333333</v>
      </c>
      <c r="O19" s="18">
        <f t="shared" si="5"/>
        <v>4</v>
      </c>
      <c r="P19" s="18">
        <f t="shared" si="6"/>
        <v>1</v>
      </c>
      <c r="Q19" s="18">
        <f t="shared" si="7"/>
        <v>2.333333333333333</v>
      </c>
      <c r="U19" s="35" t="s">
        <v>227</v>
      </c>
      <c r="Y19"/>
      <c r="AB19" s="1" t="s">
        <v>62</v>
      </c>
      <c r="AC19" s="1" t="s">
        <v>74</v>
      </c>
    </row>
    <row r="20" spans="2:29" hidden="1" x14ac:dyDescent="0.25">
      <c r="B20" s="1" t="s">
        <v>243</v>
      </c>
      <c r="C20" s="1" t="s">
        <v>106</v>
      </c>
      <c r="D20" s="2">
        <v>4</v>
      </c>
      <c r="E20" s="2" t="s">
        <v>42</v>
      </c>
      <c r="F20" s="2">
        <v>3</v>
      </c>
      <c r="G20" s="2">
        <v>1</v>
      </c>
      <c r="H20" s="2">
        <v>3</v>
      </c>
      <c r="I20" s="2">
        <v>1</v>
      </c>
      <c r="J20" s="18">
        <f t="shared" si="0"/>
        <v>1.6666666666666667</v>
      </c>
      <c r="K20" s="18">
        <f t="shared" si="1"/>
        <v>0.33333333333333331</v>
      </c>
      <c r="L20" s="18">
        <f t="shared" si="2"/>
        <v>1</v>
      </c>
      <c r="M20" s="18">
        <f t="shared" si="3"/>
        <v>0.33333333333333331</v>
      </c>
      <c r="N20" s="18">
        <f t="shared" si="4"/>
        <v>0.66666666666666663</v>
      </c>
      <c r="O20" s="18">
        <f t="shared" si="5"/>
        <v>2</v>
      </c>
      <c r="P20" s="18">
        <f t="shared" si="6"/>
        <v>0.5</v>
      </c>
      <c r="Q20" s="18">
        <f t="shared" si="7"/>
        <v>1.3333333333333333</v>
      </c>
      <c r="U20" s="35" t="s">
        <v>244</v>
      </c>
      <c r="Y20"/>
      <c r="AB20" s="1" t="s">
        <v>63</v>
      </c>
      <c r="AC20" s="1" t="s">
        <v>2</v>
      </c>
    </row>
    <row r="21" spans="2:29" hidden="1" x14ac:dyDescent="0.25">
      <c r="B21" s="1" t="s">
        <v>311</v>
      </c>
      <c r="C21" s="1" t="s">
        <v>274</v>
      </c>
      <c r="D21" s="2">
        <v>9</v>
      </c>
      <c r="E21" s="2" t="s">
        <v>59</v>
      </c>
      <c r="F21" s="2">
        <v>11</v>
      </c>
      <c r="G21" s="2">
        <v>2</v>
      </c>
      <c r="H21" s="2">
        <v>10</v>
      </c>
      <c r="I21" s="2">
        <v>1</v>
      </c>
      <c r="J21" s="18">
        <f t="shared" si="0"/>
        <v>1.1818181818181819</v>
      </c>
      <c r="K21" s="18">
        <f t="shared" si="1"/>
        <v>0.18181818181818182</v>
      </c>
      <c r="L21" s="18">
        <f t="shared" si="2"/>
        <v>0.90909090909090906</v>
      </c>
      <c r="M21" s="18">
        <f t="shared" si="3"/>
        <v>9.0909090909090912E-2</v>
      </c>
      <c r="N21" s="18">
        <f t="shared" si="4"/>
        <v>0.27272727272727271</v>
      </c>
      <c r="O21" s="18">
        <f t="shared" si="5"/>
        <v>3</v>
      </c>
      <c r="P21" s="18">
        <f t="shared" si="6"/>
        <v>0.33333333333333331</v>
      </c>
      <c r="Q21" s="18">
        <f t="shared" si="7"/>
        <v>1.0909090909090908</v>
      </c>
      <c r="T21" s="20" t="s">
        <v>310</v>
      </c>
      <c r="X21" s="5" t="s">
        <v>7</v>
      </c>
      <c r="Y21"/>
      <c r="AB21" s="1" t="s">
        <v>77</v>
      </c>
      <c r="AC21" s="1" t="s">
        <v>80</v>
      </c>
    </row>
    <row r="22" spans="2:29" hidden="1" x14ac:dyDescent="0.25">
      <c r="B22" s="1" t="s">
        <v>279</v>
      </c>
      <c r="C22" s="1" t="s">
        <v>274</v>
      </c>
      <c r="D22" s="2">
        <v>4</v>
      </c>
      <c r="E22" s="2" t="s">
        <v>16</v>
      </c>
      <c r="F22" s="2">
        <v>3</v>
      </c>
      <c r="G22" s="2">
        <v>2</v>
      </c>
      <c r="H22" s="2">
        <v>5</v>
      </c>
      <c r="I22" s="2">
        <v>1</v>
      </c>
      <c r="J22" s="18">
        <f t="shared" si="0"/>
        <v>2.6666666666666665</v>
      </c>
      <c r="K22" s="18">
        <f t="shared" si="1"/>
        <v>0.66666666666666663</v>
      </c>
      <c r="L22" s="18">
        <f t="shared" si="2"/>
        <v>1.6666666666666667</v>
      </c>
      <c r="M22" s="18">
        <f t="shared" si="3"/>
        <v>0.33333333333333331</v>
      </c>
      <c r="N22" s="18">
        <f t="shared" si="4"/>
        <v>1</v>
      </c>
      <c r="O22" s="18">
        <f t="shared" si="5"/>
        <v>3</v>
      </c>
      <c r="P22" s="18">
        <f t="shared" si="6"/>
        <v>0.75</v>
      </c>
      <c r="Q22" s="18">
        <f t="shared" si="7"/>
        <v>2.3333333333333335</v>
      </c>
      <c r="T22" s="20" t="s">
        <v>43</v>
      </c>
      <c r="Y22"/>
      <c r="AB22" s="1" t="s">
        <v>136</v>
      </c>
      <c r="AC22" s="1" t="s">
        <v>137</v>
      </c>
    </row>
    <row r="23" spans="2:29" hidden="1" x14ac:dyDescent="0.25">
      <c r="B23" s="1" t="s">
        <v>268</v>
      </c>
      <c r="C23" s="1" t="s">
        <v>106</v>
      </c>
      <c r="D23" s="2">
        <v>3</v>
      </c>
      <c r="E23" s="2" t="s">
        <v>17</v>
      </c>
      <c r="F23" s="2">
        <v>3</v>
      </c>
      <c r="G23" s="2">
        <v>2</v>
      </c>
      <c r="H23" s="2">
        <v>6</v>
      </c>
      <c r="I23" s="2">
        <v>1</v>
      </c>
      <c r="J23" s="18">
        <f t="shared" si="0"/>
        <v>3</v>
      </c>
      <c r="K23" s="18">
        <f t="shared" si="1"/>
        <v>0.66666666666666663</v>
      </c>
      <c r="L23" s="18">
        <f t="shared" si="2"/>
        <v>2</v>
      </c>
      <c r="M23" s="18">
        <f t="shared" si="3"/>
        <v>0.33333333333333331</v>
      </c>
      <c r="N23" s="18">
        <f t="shared" si="4"/>
        <v>1</v>
      </c>
      <c r="O23" s="18">
        <f t="shared" si="5"/>
        <v>3</v>
      </c>
      <c r="P23" s="18">
        <f t="shared" si="6"/>
        <v>1</v>
      </c>
      <c r="Q23" s="18">
        <f t="shared" si="7"/>
        <v>2.6666666666666665</v>
      </c>
      <c r="U23" s="35" t="s">
        <v>502</v>
      </c>
      <c r="V23" s="3" t="s">
        <v>41</v>
      </c>
      <c r="Y23"/>
      <c r="AB23" s="1" t="s">
        <v>78</v>
      </c>
      <c r="AC23" s="1" t="s">
        <v>81</v>
      </c>
    </row>
    <row r="24" spans="2:29" hidden="1" x14ac:dyDescent="0.25">
      <c r="B24" s="1" t="s">
        <v>225</v>
      </c>
      <c r="C24" s="1" t="s">
        <v>106</v>
      </c>
      <c r="D24" s="2">
        <v>3</v>
      </c>
      <c r="E24" s="2" t="s">
        <v>59</v>
      </c>
      <c r="F24" s="2">
        <v>3</v>
      </c>
      <c r="G24" s="2">
        <v>3</v>
      </c>
      <c r="H24" s="2">
        <v>3</v>
      </c>
      <c r="I24" s="2">
        <v>1</v>
      </c>
      <c r="J24" s="18">
        <f t="shared" si="0"/>
        <v>2.3333333333333335</v>
      </c>
      <c r="K24" s="18">
        <f t="shared" si="1"/>
        <v>1</v>
      </c>
      <c r="L24" s="18">
        <f t="shared" si="2"/>
        <v>1</v>
      </c>
      <c r="M24" s="18">
        <f t="shared" si="3"/>
        <v>0.33333333333333331</v>
      </c>
      <c r="N24" s="18">
        <f t="shared" si="4"/>
        <v>1.3333333333333333</v>
      </c>
      <c r="O24" s="18">
        <f t="shared" si="5"/>
        <v>4</v>
      </c>
      <c r="P24" s="18">
        <f t="shared" si="6"/>
        <v>1.3333333333333333</v>
      </c>
      <c r="Q24" s="18">
        <f t="shared" si="7"/>
        <v>2</v>
      </c>
      <c r="U24" s="35" t="s">
        <v>75</v>
      </c>
      <c r="Y24"/>
      <c r="AB24" s="1" t="s">
        <v>24</v>
      </c>
      <c r="AC24" s="1" t="s">
        <v>109</v>
      </c>
    </row>
    <row r="25" spans="2:29" hidden="1" x14ac:dyDescent="0.25">
      <c r="B25" s="1" t="s">
        <v>133</v>
      </c>
      <c r="C25" s="1" t="s">
        <v>110</v>
      </c>
      <c r="D25" s="2">
        <v>3</v>
      </c>
      <c r="E25" s="2" t="s">
        <v>16</v>
      </c>
      <c r="F25" s="2">
        <v>3</v>
      </c>
      <c r="G25" s="2">
        <v>1</v>
      </c>
      <c r="H25" s="2">
        <v>5</v>
      </c>
      <c r="I25" s="2">
        <v>1</v>
      </c>
      <c r="J25" s="18">
        <f t="shared" si="0"/>
        <v>2.3333333333333335</v>
      </c>
      <c r="K25" s="18">
        <f t="shared" si="1"/>
        <v>0.33333333333333331</v>
      </c>
      <c r="L25" s="18">
        <f t="shared" si="2"/>
        <v>1.6666666666666667</v>
      </c>
      <c r="M25" s="18">
        <f t="shared" si="3"/>
        <v>0.33333333333333331</v>
      </c>
      <c r="N25" s="18">
        <f t="shared" si="4"/>
        <v>0.66666666666666663</v>
      </c>
      <c r="O25" s="18">
        <f t="shared" si="5"/>
        <v>2</v>
      </c>
      <c r="P25" s="18">
        <f t="shared" si="6"/>
        <v>0.66666666666666663</v>
      </c>
      <c r="Q25" s="18">
        <f t="shared" si="7"/>
        <v>2</v>
      </c>
      <c r="W25" s="4" t="s">
        <v>134</v>
      </c>
      <c r="X25" s="5" t="s">
        <v>135</v>
      </c>
      <c r="Y25"/>
      <c r="AB25" s="1" t="s">
        <v>79</v>
      </c>
      <c r="AC25" s="1" t="s">
        <v>82</v>
      </c>
    </row>
    <row r="26" spans="2:29" hidden="1" x14ac:dyDescent="0.25">
      <c r="B26" s="1" t="s">
        <v>140</v>
      </c>
      <c r="C26" s="1" t="s">
        <v>110</v>
      </c>
      <c r="D26" s="2">
        <v>3</v>
      </c>
      <c r="E26" s="2" t="s">
        <v>16</v>
      </c>
      <c r="F26" s="2">
        <v>3</v>
      </c>
      <c r="G26" s="2">
        <v>1</v>
      </c>
      <c r="H26" s="2">
        <v>5</v>
      </c>
      <c r="I26" s="2">
        <v>1</v>
      </c>
      <c r="J26" s="18">
        <f t="shared" si="0"/>
        <v>2.3333333333333335</v>
      </c>
      <c r="K26" s="18">
        <f t="shared" si="1"/>
        <v>0.33333333333333331</v>
      </c>
      <c r="L26" s="18">
        <f t="shared" si="2"/>
        <v>1.6666666666666667</v>
      </c>
      <c r="M26" s="18">
        <f t="shared" si="3"/>
        <v>0.33333333333333331</v>
      </c>
      <c r="N26" s="18">
        <f t="shared" si="4"/>
        <v>0.66666666666666663</v>
      </c>
      <c r="O26" s="18">
        <f t="shared" si="5"/>
        <v>2</v>
      </c>
      <c r="P26" s="18">
        <f t="shared" si="6"/>
        <v>0.66666666666666663</v>
      </c>
      <c r="Q26" s="18">
        <f t="shared" si="7"/>
        <v>2</v>
      </c>
      <c r="R26" s="17" t="s">
        <v>141</v>
      </c>
      <c r="Y26"/>
      <c r="AB26" s="1" t="s">
        <v>130</v>
      </c>
      <c r="AC26" s="1" t="s">
        <v>131</v>
      </c>
    </row>
    <row r="27" spans="2:29" hidden="1" x14ac:dyDescent="0.25">
      <c r="B27" s="1" t="s">
        <v>322</v>
      </c>
      <c r="C27" s="1" t="s">
        <v>274</v>
      </c>
      <c r="D27" s="2">
        <v>9</v>
      </c>
      <c r="E27" s="2" t="s">
        <v>42</v>
      </c>
      <c r="F27" s="2">
        <v>8</v>
      </c>
      <c r="G27" s="2">
        <v>3</v>
      </c>
      <c r="H27" s="2">
        <v>8</v>
      </c>
      <c r="I27" s="2">
        <v>0</v>
      </c>
      <c r="J27" s="18">
        <f t="shared" si="0"/>
        <v>1.375</v>
      </c>
      <c r="K27" s="18">
        <f t="shared" si="1"/>
        <v>0.375</v>
      </c>
      <c r="L27" s="18">
        <f t="shared" si="2"/>
        <v>1</v>
      </c>
      <c r="M27" s="18">
        <f t="shared" si="3"/>
        <v>0</v>
      </c>
      <c r="N27" s="18">
        <f t="shared" si="4"/>
        <v>0.375</v>
      </c>
      <c r="O27" s="18">
        <f t="shared" si="5"/>
        <v>3</v>
      </c>
      <c r="P27" s="18">
        <f t="shared" si="6"/>
        <v>0.33333333333333331</v>
      </c>
      <c r="Q27" s="18">
        <f t="shared" si="7"/>
        <v>1.375</v>
      </c>
      <c r="T27" s="20" t="s">
        <v>323</v>
      </c>
      <c r="X27" s="5" t="s">
        <v>43</v>
      </c>
      <c r="Y27"/>
      <c r="AB27" s="1" t="s">
        <v>83</v>
      </c>
      <c r="AC27" s="1" t="s">
        <v>84</v>
      </c>
    </row>
    <row r="28" spans="2:29" hidden="1" x14ac:dyDescent="0.25">
      <c r="B28" s="1" t="s">
        <v>273</v>
      </c>
      <c r="C28" s="1" t="s">
        <v>274</v>
      </c>
      <c r="D28" s="2">
        <v>1</v>
      </c>
      <c r="E28" s="2" t="s">
        <v>16</v>
      </c>
      <c r="F28" s="2">
        <v>3</v>
      </c>
      <c r="G28" s="2">
        <v>2</v>
      </c>
      <c r="H28" s="2">
        <v>3</v>
      </c>
      <c r="I28" s="2">
        <v>1</v>
      </c>
      <c r="J28" s="18">
        <f t="shared" si="0"/>
        <v>2</v>
      </c>
      <c r="K28" s="18">
        <f t="shared" si="1"/>
        <v>0.66666666666666663</v>
      </c>
      <c r="L28" s="18">
        <f t="shared" si="2"/>
        <v>1</v>
      </c>
      <c r="M28" s="18">
        <f t="shared" si="3"/>
        <v>0.33333333333333331</v>
      </c>
      <c r="N28" s="18">
        <f t="shared" si="4"/>
        <v>1</v>
      </c>
      <c r="O28" s="18">
        <f t="shared" si="5"/>
        <v>3</v>
      </c>
      <c r="P28" s="18">
        <f t="shared" si="6"/>
        <v>3</v>
      </c>
      <c r="Q28" s="18">
        <f t="shared" si="7"/>
        <v>1.6666666666666665</v>
      </c>
      <c r="Y28"/>
      <c r="AB28" s="1" t="s">
        <v>91</v>
      </c>
      <c r="AC28" s="1" t="s">
        <v>92</v>
      </c>
    </row>
    <row r="29" spans="2:29" hidden="1" x14ac:dyDescent="0.25">
      <c r="B29" s="1" t="s">
        <v>500</v>
      </c>
      <c r="C29" s="1" t="s">
        <v>274</v>
      </c>
      <c r="D29" s="2">
        <v>3</v>
      </c>
      <c r="E29" s="2" t="s">
        <v>42</v>
      </c>
      <c r="F29" s="2">
        <v>3</v>
      </c>
      <c r="G29" s="2">
        <v>1</v>
      </c>
      <c r="H29" s="2">
        <v>3</v>
      </c>
      <c r="I29" s="2">
        <v>1</v>
      </c>
      <c r="J29" s="18">
        <f t="shared" si="0"/>
        <v>1.6666666666666667</v>
      </c>
      <c r="K29" s="18">
        <f t="shared" si="1"/>
        <v>0.33333333333333331</v>
      </c>
      <c r="L29" s="18">
        <f t="shared" si="2"/>
        <v>1</v>
      </c>
      <c r="M29" s="18">
        <f t="shared" si="3"/>
        <v>0.33333333333333331</v>
      </c>
      <c r="N29" s="18">
        <f t="shared" si="4"/>
        <v>0.66666666666666663</v>
      </c>
      <c r="O29" s="18">
        <f t="shared" si="5"/>
        <v>2</v>
      </c>
      <c r="P29" s="18">
        <f t="shared" si="6"/>
        <v>0.66666666666666663</v>
      </c>
      <c r="Q29" s="18">
        <f t="shared" si="7"/>
        <v>1.3333333333333333</v>
      </c>
      <c r="T29" s="20" t="s">
        <v>43</v>
      </c>
      <c r="Y29"/>
      <c r="AB29" s="1" t="s">
        <v>90</v>
      </c>
      <c r="AC29" s="1" t="s">
        <v>93</v>
      </c>
    </row>
    <row r="30" spans="2:29" hidden="1" x14ac:dyDescent="0.25">
      <c r="B30" s="1" t="s">
        <v>294</v>
      </c>
      <c r="C30" s="1" t="s">
        <v>274</v>
      </c>
      <c r="D30" s="2">
        <v>9</v>
      </c>
      <c r="E30" s="2" t="s">
        <v>18</v>
      </c>
      <c r="F30" s="2">
        <v>10</v>
      </c>
      <c r="G30" s="2">
        <v>3</v>
      </c>
      <c r="H30" s="2">
        <v>13</v>
      </c>
      <c r="I30" s="2">
        <v>3</v>
      </c>
      <c r="J30" s="18">
        <f t="shared" si="0"/>
        <v>1.9</v>
      </c>
      <c r="K30" s="18">
        <f t="shared" si="1"/>
        <v>0.3</v>
      </c>
      <c r="L30" s="18">
        <f t="shared" si="2"/>
        <v>1.3</v>
      </c>
      <c r="M30" s="18">
        <f t="shared" si="3"/>
        <v>0.3</v>
      </c>
      <c r="N30" s="18">
        <f t="shared" si="4"/>
        <v>0.6</v>
      </c>
      <c r="O30" s="18">
        <f t="shared" si="5"/>
        <v>6</v>
      </c>
      <c r="P30" s="18">
        <f t="shared" si="6"/>
        <v>0.66666666666666663</v>
      </c>
      <c r="Q30" s="18">
        <f t="shared" si="7"/>
        <v>1.6</v>
      </c>
      <c r="T30" s="20" t="s">
        <v>295</v>
      </c>
      <c r="W30" s="4" t="s">
        <v>47</v>
      </c>
      <c r="Y30"/>
      <c r="AB30" s="1" t="s">
        <v>97</v>
      </c>
      <c r="AC30" s="1" t="s">
        <v>98</v>
      </c>
    </row>
    <row r="31" spans="2:29" hidden="1" x14ac:dyDescent="0.25">
      <c r="B31" s="1" t="s">
        <v>265</v>
      </c>
      <c r="C31" s="1" t="s">
        <v>106</v>
      </c>
      <c r="D31" s="2">
        <v>8</v>
      </c>
      <c r="E31" s="2" t="s">
        <v>59</v>
      </c>
      <c r="F31" s="2">
        <v>10</v>
      </c>
      <c r="G31" s="2">
        <v>3</v>
      </c>
      <c r="H31" s="2">
        <v>10</v>
      </c>
      <c r="I31" s="2">
        <v>3</v>
      </c>
      <c r="J31" s="18">
        <f t="shared" si="0"/>
        <v>1.6</v>
      </c>
      <c r="K31" s="18">
        <f t="shared" si="1"/>
        <v>0.3</v>
      </c>
      <c r="L31" s="18">
        <f t="shared" si="2"/>
        <v>1</v>
      </c>
      <c r="M31" s="18">
        <f t="shared" si="3"/>
        <v>0.3</v>
      </c>
      <c r="N31" s="18">
        <f t="shared" si="4"/>
        <v>0.6</v>
      </c>
      <c r="O31" s="18">
        <f t="shared" si="5"/>
        <v>6</v>
      </c>
      <c r="P31" s="18">
        <f t="shared" si="6"/>
        <v>0.75</v>
      </c>
      <c r="Q31" s="18">
        <f t="shared" si="7"/>
        <v>1.3</v>
      </c>
      <c r="R31" s="17" t="s">
        <v>266</v>
      </c>
      <c r="Y31"/>
      <c r="AB31" s="1" t="s">
        <v>251</v>
      </c>
      <c r="AC31" s="1" t="s">
        <v>105</v>
      </c>
    </row>
    <row r="32" spans="2:29" hidden="1" x14ac:dyDescent="0.25">
      <c r="B32" s="1" t="s">
        <v>349</v>
      </c>
      <c r="C32" s="1" t="s">
        <v>274</v>
      </c>
      <c r="D32" s="2">
        <v>1</v>
      </c>
      <c r="E32" s="2" t="s">
        <v>18</v>
      </c>
      <c r="F32" s="2">
        <v>8</v>
      </c>
      <c r="G32" s="2">
        <v>4</v>
      </c>
      <c r="H32" s="2">
        <v>7</v>
      </c>
      <c r="I32" s="2">
        <v>2</v>
      </c>
      <c r="J32" s="18">
        <f t="shared" si="0"/>
        <v>1.625</v>
      </c>
      <c r="K32" s="18">
        <f t="shared" si="1"/>
        <v>0.5</v>
      </c>
      <c r="L32" s="18">
        <f t="shared" si="2"/>
        <v>0.875</v>
      </c>
      <c r="M32" s="18">
        <f t="shared" si="3"/>
        <v>0.25</v>
      </c>
      <c r="N32" s="18">
        <f t="shared" si="4"/>
        <v>0.75</v>
      </c>
      <c r="O32" s="18">
        <f t="shared" si="5"/>
        <v>6</v>
      </c>
      <c r="P32" s="18">
        <f t="shared" si="6"/>
        <v>6</v>
      </c>
      <c r="Q32" s="18">
        <f t="shared" si="7"/>
        <v>1.375</v>
      </c>
      <c r="Y32"/>
      <c r="AB32" s="1" t="s">
        <v>110</v>
      </c>
      <c r="AC32" s="1" t="s">
        <v>111</v>
      </c>
    </row>
    <row r="33" spans="2:29" hidden="1" x14ac:dyDescent="0.25">
      <c r="B33" s="1" t="s">
        <v>293</v>
      </c>
      <c r="C33" s="1" t="s">
        <v>274</v>
      </c>
      <c r="D33" s="2">
        <v>8</v>
      </c>
      <c r="E33" s="2" t="s">
        <v>18</v>
      </c>
      <c r="F33" s="2">
        <v>9</v>
      </c>
      <c r="G33" s="2">
        <v>3</v>
      </c>
      <c r="H33" s="2">
        <v>12</v>
      </c>
      <c r="I33" s="2">
        <v>2</v>
      </c>
      <c r="J33" s="18">
        <f t="shared" si="0"/>
        <v>1.8888888888888888</v>
      </c>
      <c r="K33" s="18">
        <f t="shared" si="1"/>
        <v>0.33333333333333331</v>
      </c>
      <c r="L33" s="18">
        <f t="shared" si="2"/>
        <v>1.3333333333333333</v>
      </c>
      <c r="M33" s="18">
        <f t="shared" si="3"/>
        <v>0.22222222222222221</v>
      </c>
      <c r="N33" s="18">
        <f t="shared" si="4"/>
        <v>0.55555555555555558</v>
      </c>
      <c r="O33" s="18">
        <f t="shared" si="5"/>
        <v>5</v>
      </c>
      <c r="P33" s="18">
        <f t="shared" si="6"/>
        <v>0.625</v>
      </c>
      <c r="Q33" s="18">
        <f t="shared" si="7"/>
        <v>1.6666666666666665</v>
      </c>
      <c r="R33" s="17" t="s">
        <v>7</v>
      </c>
      <c r="T33" s="20" t="s">
        <v>41</v>
      </c>
      <c r="V33" s="3" t="s">
        <v>43</v>
      </c>
      <c r="Y33"/>
      <c r="AB33" s="1" t="s">
        <v>118</v>
      </c>
      <c r="AC33" s="1" t="s">
        <v>121</v>
      </c>
    </row>
    <row r="34" spans="2:29" hidden="1" x14ac:dyDescent="0.25">
      <c r="B34" s="1" t="s">
        <v>211</v>
      </c>
      <c r="C34" s="1" t="s">
        <v>106</v>
      </c>
      <c r="D34" s="2">
        <v>7</v>
      </c>
      <c r="E34" s="2" t="s">
        <v>17</v>
      </c>
      <c r="F34" s="2">
        <v>4</v>
      </c>
      <c r="G34" s="2">
        <v>4</v>
      </c>
      <c r="H34" s="2">
        <v>6</v>
      </c>
      <c r="I34" s="2">
        <v>1</v>
      </c>
      <c r="J34" s="18">
        <f t="shared" si="0"/>
        <v>2.75</v>
      </c>
      <c r="K34" s="18">
        <f t="shared" si="1"/>
        <v>1</v>
      </c>
      <c r="L34" s="18">
        <f t="shared" si="2"/>
        <v>1.5</v>
      </c>
      <c r="M34" s="18">
        <f t="shared" si="3"/>
        <v>0.25</v>
      </c>
      <c r="N34" s="18">
        <f t="shared" si="4"/>
        <v>1.25</v>
      </c>
      <c r="O34" s="18">
        <f t="shared" si="5"/>
        <v>5</v>
      </c>
      <c r="P34" s="18">
        <f t="shared" si="6"/>
        <v>0.7142857142857143</v>
      </c>
      <c r="Q34" s="18">
        <f t="shared" si="7"/>
        <v>2.5</v>
      </c>
      <c r="U34" s="35" t="s">
        <v>41</v>
      </c>
      <c r="Y34"/>
      <c r="AB34" s="1" t="s">
        <v>119</v>
      </c>
      <c r="AC34" s="1" t="s">
        <v>120</v>
      </c>
    </row>
    <row r="35" spans="2:29" x14ac:dyDescent="0.25">
      <c r="B35" s="1" t="s">
        <v>212</v>
      </c>
      <c r="C35" s="1" t="s">
        <v>106</v>
      </c>
      <c r="D35" s="2">
        <v>8</v>
      </c>
      <c r="E35" s="2" t="s">
        <v>17</v>
      </c>
      <c r="F35" s="2">
        <v>5</v>
      </c>
      <c r="G35" s="2">
        <v>3</v>
      </c>
      <c r="H35" s="2">
        <v>7</v>
      </c>
      <c r="I35" s="2">
        <v>1</v>
      </c>
      <c r="J35" s="18">
        <f t="shared" si="0"/>
        <v>2.2000000000000002</v>
      </c>
      <c r="K35" s="18">
        <f t="shared" si="1"/>
        <v>0.6</v>
      </c>
      <c r="L35" s="18">
        <f t="shared" si="2"/>
        <v>1.4</v>
      </c>
      <c r="M35" s="18">
        <f t="shared" si="3"/>
        <v>0.2</v>
      </c>
      <c r="N35" s="18">
        <f t="shared" si="4"/>
        <v>0.8</v>
      </c>
      <c r="O35" s="18">
        <f t="shared" si="5"/>
        <v>4</v>
      </c>
      <c r="P35" s="18">
        <f t="shared" si="6"/>
        <v>0.5</v>
      </c>
      <c r="Q35" s="18">
        <f t="shared" si="7"/>
        <v>2</v>
      </c>
      <c r="R35" s="17" t="s">
        <v>7</v>
      </c>
      <c r="U35" s="35" t="s">
        <v>560</v>
      </c>
      <c r="X35" s="5" t="s">
        <v>213</v>
      </c>
      <c r="Y35"/>
      <c r="AB35" s="1" t="s">
        <v>215</v>
      </c>
      <c r="AC35" s="1" t="s">
        <v>216</v>
      </c>
    </row>
    <row r="36" spans="2:29" hidden="1" x14ac:dyDescent="0.25">
      <c r="B36" s="1" t="s">
        <v>201</v>
      </c>
      <c r="C36" s="1" t="s">
        <v>106</v>
      </c>
      <c r="D36" s="2">
        <v>6</v>
      </c>
      <c r="E36" s="2" t="s">
        <v>17</v>
      </c>
      <c r="F36" s="2">
        <v>4</v>
      </c>
      <c r="G36" s="2">
        <v>3</v>
      </c>
      <c r="H36" s="2">
        <v>6</v>
      </c>
      <c r="I36" s="2">
        <v>1</v>
      </c>
      <c r="J36" s="18">
        <f t="shared" si="0"/>
        <v>2.5</v>
      </c>
      <c r="K36" s="18">
        <f t="shared" si="1"/>
        <v>0.75</v>
      </c>
      <c r="L36" s="18">
        <f t="shared" si="2"/>
        <v>1.5</v>
      </c>
      <c r="M36" s="18">
        <f t="shared" si="3"/>
        <v>0.25</v>
      </c>
      <c r="N36" s="18">
        <f t="shared" si="4"/>
        <v>1</v>
      </c>
      <c r="O36" s="18">
        <f t="shared" si="5"/>
        <v>4</v>
      </c>
      <c r="P36" s="18">
        <f t="shared" si="6"/>
        <v>0.66666666666666663</v>
      </c>
      <c r="Q36" s="18">
        <f t="shared" si="7"/>
        <v>2.25</v>
      </c>
      <c r="R36" s="17" t="s">
        <v>13</v>
      </c>
      <c r="U36" s="35" t="s">
        <v>202</v>
      </c>
      <c r="Y36"/>
      <c r="AB36" s="1" t="s">
        <v>219</v>
      </c>
      <c r="AC36" s="1" t="s">
        <v>220</v>
      </c>
    </row>
    <row r="37" spans="2:29" hidden="1" x14ac:dyDescent="0.25">
      <c r="B37" s="1" t="s">
        <v>114</v>
      </c>
      <c r="C37" s="1" t="s">
        <v>110</v>
      </c>
      <c r="D37" s="2">
        <v>8</v>
      </c>
      <c r="E37" s="2" t="s">
        <v>18</v>
      </c>
      <c r="F37" s="2">
        <v>9</v>
      </c>
      <c r="G37" s="2">
        <v>2</v>
      </c>
      <c r="H37" s="2">
        <v>14</v>
      </c>
      <c r="I37" s="2">
        <v>1</v>
      </c>
      <c r="J37" s="18">
        <f t="shared" ref="J37:J68" si="8">(G37+H37+I37)/F37</f>
        <v>1.8888888888888888</v>
      </c>
      <c r="K37" s="18">
        <f t="shared" ref="K37:K68" si="9">G37/F37</f>
        <v>0.22222222222222221</v>
      </c>
      <c r="L37" s="18">
        <f t="shared" ref="L37:L68" si="10">H37/F37</f>
        <v>1.5555555555555556</v>
      </c>
      <c r="M37" s="18">
        <f t="shared" ref="M37:M68" si="11">I37/F37</f>
        <v>0.1111111111111111</v>
      </c>
      <c r="N37" s="18">
        <f t="shared" ref="N37:N68" si="12">(G37+I37)/F37</f>
        <v>0.33333333333333331</v>
      </c>
      <c r="O37" s="18">
        <f t="shared" ref="O37:O68" si="13">G37+I37</f>
        <v>3</v>
      </c>
      <c r="P37" s="18">
        <f t="shared" ref="P37:P68" si="14">O37/D37</f>
        <v>0.375</v>
      </c>
      <c r="Q37" s="18">
        <f t="shared" ref="Q37:Q68" si="15">K37+L37</f>
        <v>1.7777777777777777</v>
      </c>
      <c r="V37" s="3" t="s">
        <v>123</v>
      </c>
      <c r="W37" s="4" t="s">
        <v>122</v>
      </c>
      <c r="X37" s="5" t="s">
        <v>7</v>
      </c>
      <c r="Y37"/>
      <c r="AB37" s="1" t="s">
        <v>236</v>
      </c>
      <c r="AC37" s="1" t="s">
        <v>237</v>
      </c>
    </row>
    <row r="38" spans="2:29" hidden="1" x14ac:dyDescent="0.25">
      <c r="B38" s="1" t="s">
        <v>124</v>
      </c>
      <c r="C38" s="1" t="s">
        <v>110</v>
      </c>
      <c r="D38" s="2">
        <v>5</v>
      </c>
      <c r="E38" s="2" t="s">
        <v>18</v>
      </c>
      <c r="F38" s="2">
        <v>4</v>
      </c>
      <c r="G38" s="2">
        <v>1</v>
      </c>
      <c r="H38" s="2">
        <v>8</v>
      </c>
      <c r="I38" s="2">
        <v>1</v>
      </c>
      <c r="J38" s="18">
        <f t="shared" si="8"/>
        <v>2.5</v>
      </c>
      <c r="K38" s="18">
        <f t="shared" si="9"/>
        <v>0.25</v>
      </c>
      <c r="L38" s="18">
        <f t="shared" si="10"/>
        <v>2</v>
      </c>
      <c r="M38" s="18">
        <f t="shared" si="11"/>
        <v>0.25</v>
      </c>
      <c r="N38" s="18">
        <f t="shared" si="12"/>
        <v>0.5</v>
      </c>
      <c r="O38" s="18">
        <f t="shared" si="13"/>
        <v>2</v>
      </c>
      <c r="P38" s="18">
        <f t="shared" si="14"/>
        <v>0.4</v>
      </c>
      <c r="Q38" s="18">
        <f t="shared" si="15"/>
        <v>2.25</v>
      </c>
      <c r="V38" s="3" t="s">
        <v>126</v>
      </c>
      <c r="W38" s="4" t="s">
        <v>125</v>
      </c>
      <c r="Y38"/>
    </row>
    <row r="39" spans="2:29" hidden="1" x14ac:dyDescent="0.25">
      <c r="B39" s="1" t="s">
        <v>262</v>
      </c>
      <c r="C39" s="1" t="s">
        <v>106</v>
      </c>
      <c r="D39" s="2">
        <v>8</v>
      </c>
      <c r="E39" s="2" t="s">
        <v>18</v>
      </c>
      <c r="F39" s="2">
        <v>10</v>
      </c>
      <c r="G39" s="2">
        <v>3</v>
      </c>
      <c r="H39" s="2">
        <v>1</v>
      </c>
      <c r="I39" s="2">
        <v>1</v>
      </c>
      <c r="J39" s="18">
        <f t="shared" si="8"/>
        <v>0.5</v>
      </c>
      <c r="K39" s="18">
        <f t="shared" si="9"/>
        <v>0.3</v>
      </c>
      <c r="L39" s="18">
        <f t="shared" si="10"/>
        <v>0.1</v>
      </c>
      <c r="M39" s="18">
        <f t="shared" si="11"/>
        <v>0.1</v>
      </c>
      <c r="N39" s="18">
        <f t="shared" si="12"/>
        <v>0.4</v>
      </c>
      <c r="O39" s="18">
        <f t="shared" si="13"/>
        <v>4</v>
      </c>
      <c r="P39" s="18">
        <f t="shared" si="14"/>
        <v>0.5</v>
      </c>
      <c r="Q39" s="18">
        <f t="shared" si="15"/>
        <v>0.4</v>
      </c>
      <c r="R39" s="17" t="s">
        <v>263</v>
      </c>
      <c r="V39" s="3" t="s">
        <v>264</v>
      </c>
      <c r="W39" s="4" t="s">
        <v>47</v>
      </c>
      <c r="X39" s="5" t="s">
        <v>7</v>
      </c>
      <c r="Y39"/>
    </row>
    <row r="40" spans="2:29" hidden="1" x14ac:dyDescent="0.25">
      <c r="B40" s="1" t="s">
        <v>39</v>
      </c>
      <c r="C40" s="1" t="s">
        <v>110</v>
      </c>
      <c r="D40" s="2">
        <v>5</v>
      </c>
      <c r="E40" s="2" t="s">
        <v>42</v>
      </c>
      <c r="F40" s="2">
        <v>4</v>
      </c>
      <c r="G40" s="2">
        <v>1</v>
      </c>
      <c r="H40" s="2">
        <v>6</v>
      </c>
      <c r="I40" s="2">
        <v>1</v>
      </c>
      <c r="J40" s="18">
        <f t="shared" si="8"/>
        <v>2</v>
      </c>
      <c r="K40" s="18">
        <f t="shared" si="9"/>
        <v>0.25</v>
      </c>
      <c r="L40" s="18">
        <f t="shared" si="10"/>
        <v>1.5</v>
      </c>
      <c r="M40" s="18">
        <f t="shared" si="11"/>
        <v>0.25</v>
      </c>
      <c r="N40" s="18">
        <f t="shared" si="12"/>
        <v>0.5</v>
      </c>
      <c r="O40" s="18">
        <f t="shared" si="13"/>
        <v>2</v>
      </c>
      <c r="P40" s="18">
        <f t="shared" si="14"/>
        <v>0.4</v>
      </c>
      <c r="Q40" s="18">
        <f t="shared" si="15"/>
        <v>1.75</v>
      </c>
      <c r="S40" s="19" t="s">
        <v>99</v>
      </c>
      <c r="Y40"/>
    </row>
    <row r="41" spans="2:29" hidden="1" x14ac:dyDescent="0.25">
      <c r="B41" s="1" t="s">
        <v>336</v>
      </c>
      <c r="C41" s="1" t="s">
        <v>274</v>
      </c>
      <c r="D41" s="2">
        <v>3</v>
      </c>
      <c r="E41" s="2" t="s">
        <v>16</v>
      </c>
      <c r="F41" s="2">
        <v>4</v>
      </c>
      <c r="G41" s="2">
        <v>1</v>
      </c>
      <c r="H41" s="2">
        <v>4</v>
      </c>
      <c r="I41" s="2">
        <v>1</v>
      </c>
      <c r="J41" s="18">
        <f t="shared" si="8"/>
        <v>1.5</v>
      </c>
      <c r="K41" s="18">
        <f t="shared" si="9"/>
        <v>0.25</v>
      </c>
      <c r="L41" s="18">
        <f t="shared" si="10"/>
        <v>1</v>
      </c>
      <c r="M41" s="18">
        <f t="shared" si="11"/>
        <v>0.25</v>
      </c>
      <c r="N41" s="18">
        <f t="shared" si="12"/>
        <v>0.5</v>
      </c>
      <c r="O41" s="18">
        <f t="shared" si="13"/>
        <v>2</v>
      </c>
      <c r="P41" s="18">
        <f t="shared" si="14"/>
        <v>0.66666666666666663</v>
      </c>
      <c r="Q41" s="18">
        <f t="shared" si="15"/>
        <v>1.25</v>
      </c>
      <c r="R41" s="17" t="s">
        <v>298</v>
      </c>
      <c r="Y41"/>
    </row>
    <row r="42" spans="2:29" hidden="1" x14ac:dyDescent="0.25">
      <c r="B42" s="1" t="s">
        <v>346</v>
      </c>
      <c r="C42" s="1" t="s">
        <v>106</v>
      </c>
      <c r="D42" s="2">
        <v>1</v>
      </c>
      <c r="E42" s="2" t="s">
        <v>18</v>
      </c>
      <c r="F42" s="2">
        <v>4</v>
      </c>
      <c r="G42" s="2">
        <v>2</v>
      </c>
      <c r="H42" s="2">
        <v>8</v>
      </c>
      <c r="I42" s="2">
        <v>1</v>
      </c>
      <c r="J42" s="18">
        <f t="shared" si="8"/>
        <v>2.75</v>
      </c>
      <c r="K42" s="18">
        <f t="shared" si="9"/>
        <v>0.5</v>
      </c>
      <c r="L42" s="18">
        <f t="shared" si="10"/>
        <v>2</v>
      </c>
      <c r="M42" s="18">
        <f t="shared" si="11"/>
        <v>0.25</v>
      </c>
      <c r="N42" s="18">
        <f t="shared" si="12"/>
        <v>0.75</v>
      </c>
      <c r="O42" s="18">
        <f t="shared" si="13"/>
        <v>3</v>
      </c>
      <c r="P42" s="18">
        <f t="shared" si="14"/>
        <v>3</v>
      </c>
      <c r="Q42" s="18">
        <f t="shared" si="15"/>
        <v>2.5</v>
      </c>
      <c r="Y42"/>
    </row>
    <row r="43" spans="2:29" hidden="1" x14ac:dyDescent="0.25">
      <c r="B43" s="1" t="s">
        <v>15</v>
      </c>
      <c r="C43" s="1" t="s">
        <v>110</v>
      </c>
      <c r="D43" s="2">
        <v>7</v>
      </c>
      <c r="E43" s="2" t="s">
        <v>18</v>
      </c>
      <c r="F43" s="2">
        <v>5</v>
      </c>
      <c r="G43" s="2">
        <v>2</v>
      </c>
      <c r="H43" s="2">
        <v>10</v>
      </c>
      <c r="I43" s="2">
        <v>1</v>
      </c>
      <c r="J43" s="18">
        <f t="shared" si="8"/>
        <v>2.6</v>
      </c>
      <c r="K43" s="18">
        <f t="shared" si="9"/>
        <v>0.4</v>
      </c>
      <c r="L43" s="18">
        <f t="shared" si="10"/>
        <v>2</v>
      </c>
      <c r="M43" s="18">
        <f t="shared" si="11"/>
        <v>0.2</v>
      </c>
      <c r="N43" s="18">
        <f t="shared" si="12"/>
        <v>0.6</v>
      </c>
      <c r="O43" s="18">
        <f t="shared" si="13"/>
        <v>3</v>
      </c>
      <c r="P43" s="18">
        <f t="shared" si="14"/>
        <v>0.42857142857142855</v>
      </c>
      <c r="Q43" s="18">
        <f t="shared" si="15"/>
        <v>2.4</v>
      </c>
      <c r="R43" s="17" t="s">
        <v>7</v>
      </c>
      <c r="S43" s="19" t="s">
        <v>88</v>
      </c>
      <c r="Y43"/>
    </row>
    <row r="44" spans="2:29" hidden="1" x14ac:dyDescent="0.25">
      <c r="B44" s="1" t="s">
        <v>230</v>
      </c>
      <c r="C44" s="1" t="s">
        <v>106</v>
      </c>
      <c r="D44" s="2">
        <v>7</v>
      </c>
      <c r="E44" s="2" t="s">
        <v>59</v>
      </c>
      <c r="F44" s="2">
        <v>5</v>
      </c>
      <c r="G44" s="2">
        <v>3</v>
      </c>
      <c r="H44" s="2">
        <v>7</v>
      </c>
      <c r="I44" s="2">
        <v>1</v>
      </c>
      <c r="J44" s="18">
        <f t="shared" si="8"/>
        <v>2.2000000000000002</v>
      </c>
      <c r="K44" s="18">
        <f t="shared" si="9"/>
        <v>0.6</v>
      </c>
      <c r="L44" s="18">
        <f t="shared" si="10"/>
        <v>1.4</v>
      </c>
      <c r="M44" s="18">
        <f t="shared" si="11"/>
        <v>0.2</v>
      </c>
      <c r="N44" s="18">
        <f t="shared" si="12"/>
        <v>0.8</v>
      </c>
      <c r="O44" s="18">
        <f t="shared" si="13"/>
        <v>4</v>
      </c>
      <c r="P44" s="18">
        <f t="shared" si="14"/>
        <v>0.5714285714285714</v>
      </c>
      <c r="Q44" s="18">
        <f t="shared" si="15"/>
        <v>2</v>
      </c>
      <c r="U44" s="35" t="s">
        <v>231</v>
      </c>
      <c r="Y44"/>
    </row>
    <row r="45" spans="2:29" hidden="1" x14ac:dyDescent="0.25">
      <c r="B45" s="1" t="s">
        <v>32</v>
      </c>
      <c r="C45" s="1" t="s">
        <v>110</v>
      </c>
      <c r="D45" s="2">
        <v>7</v>
      </c>
      <c r="E45" s="1" t="s">
        <v>59</v>
      </c>
      <c r="F45" s="2">
        <v>5</v>
      </c>
      <c r="G45" s="2">
        <v>2</v>
      </c>
      <c r="H45" s="2">
        <v>9</v>
      </c>
      <c r="I45" s="2">
        <v>1</v>
      </c>
      <c r="J45" s="18">
        <f t="shared" si="8"/>
        <v>2.4</v>
      </c>
      <c r="K45" s="18">
        <f t="shared" si="9"/>
        <v>0.4</v>
      </c>
      <c r="L45" s="18">
        <f t="shared" si="10"/>
        <v>1.8</v>
      </c>
      <c r="M45" s="18">
        <f t="shared" si="11"/>
        <v>0.2</v>
      </c>
      <c r="N45" s="18">
        <f t="shared" si="12"/>
        <v>0.6</v>
      </c>
      <c r="O45" s="18">
        <f t="shared" si="13"/>
        <v>3</v>
      </c>
      <c r="P45" s="18">
        <f t="shared" si="14"/>
        <v>0.42857142857142855</v>
      </c>
      <c r="Q45" s="18">
        <f t="shared" si="15"/>
        <v>2.2000000000000002</v>
      </c>
      <c r="S45" s="19" t="s">
        <v>108</v>
      </c>
      <c r="Y45"/>
    </row>
    <row r="46" spans="2:29" hidden="1" x14ac:dyDescent="0.25">
      <c r="B46" s="1" t="s">
        <v>305</v>
      </c>
      <c r="C46" s="1" t="s">
        <v>274</v>
      </c>
      <c r="D46" s="2">
        <v>7</v>
      </c>
      <c r="E46" s="2" t="s">
        <v>59</v>
      </c>
      <c r="F46" s="2">
        <v>6</v>
      </c>
      <c r="G46" s="2">
        <v>3</v>
      </c>
      <c r="H46" s="2">
        <v>7</v>
      </c>
      <c r="I46" s="2">
        <v>1</v>
      </c>
      <c r="J46" s="18">
        <f t="shared" si="8"/>
        <v>1.8333333333333333</v>
      </c>
      <c r="K46" s="18">
        <f t="shared" si="9"/>
        <v>0.5</v>
      </c>
      <c r="L46" s="18">
        <f t="shared" si="10"/>
        <v>1.1666666666666667</v>
      </c>
      <c r="M46" s="18">
        <f t="shared" si="11"/>
        <v>0.16666666666666666</v>
      </c>
      <c r="N46" s="18">
        <f t="shared" si="12"/>
        <v>0.66666666666666663</v>
      </c>
      <c r="O46" s="18">
        <f t="shared" si="13"/>
        <v>4</v>
      </c>
      <c r="P46" s="18">
        <f t="shared" si="14"/>
        <v>0.5714285714285714</v>
      </c>
      <c r="Q46" s="18">
        <f t="shared" si="15"/>
        <v>1.6666666666666667</v>
      </c>
      <c r="R46" s="17" t="s">
        <v>7</v>
      </c>
      <c r="T46" s="20" t="s">
        <v>306</v>
      </c>
      <c r="Y46"/>
    </row>
    <row r="47" spans="2:29" hidden="1" x14ac:dyDescent="0.25">
      <c r="B47" s="1" t="s">
        <v>342</v>
      </c>
      <c r="C47" s="1" t="s">
        <v>110</v>
      </c>
      <c r="D47" s="2">
        <v>1</v>
      </c>
      <c r="E47" s="2" t="s">
        <v>17</v>
      </c>
      <c r="F47" s="2">
        <v>5</v>
      </c>
      <c r="G47" s="2">
        <v>1</v>
      </c>
      <c r="H47" s="2">
        <v>9</v>
      </c>
      <c r="I47" s="2">
        <v>1</v>
      </c>
      <c r="J47" s="18">
        <f t="shared" si="8"/>
        <v>2.2000000000000002</v>
      </c>
      <c r="K47" s="18">
        <f t="shared" si="9"/>
        <v>0.2</v>
      </c>
      <c r="L47" s="18">
        <f t="shared" si="10"/>
        <v>1.8</v>
      </c>
      <c r="M47" s="18">
        <f t="shared" si="11"/>
        <v>0.2</v>
      </c>
      <c r="N47" s="18">
        <f t="shared" si="12"/>
        <v>0.4</v>
      </c>
      <c r="O47" s="18">
        <f t="shared" si="13"/>
        <v>2</v>
      </c>
      <c r="P47" s="18">
        <f t="shared" si="14"/>
        <v>2</v>
      </c>
      <c r="Q47" s="18">
        <f t="shared" si="15"/>
        <v>2</v>
      </c>
      <c r="Y47"/>
    </row>
    <row r="48" spans="2:29" hidden="1" x14ac:dyDescent="0.25">
      <c r="B48" s="1" t="s">
        <v>30</v>
      </c>
      <c r="C48" s="1" t="s">
        <v>110</v>
      </c>
      <c r="D48" s="2">
        <v>5</v>
      </c>
      <c r="E48" s="1" t="s">
        <v>59</v>
      </c>
      <c r="F48" s="2">
        <v>5</v>
      </c>
      <c r="G48" s="2">
        <v>2</v>
      </c>
      <c r="H48" s="2">
        <v>8</v>
      </c>
      <c r="I48" s="2">
        <v>1</v>
      </c>
      <c r="J48" s="18">
        <f t="shared" si="8"/>
        <v>2.2000000000000002</v>
      </c>
      <c r="K48" s="18">
        <f t="shared" si="9"/>
        <v>0.4</v>
      </c>
      <c r="L48" s="18">
        <f t="shared" si="10"/>
        <v>1.6</v>
      </c>
      <c r="M48" s="18">
        <f t="shared" si="11"/>
        <v>0.2</v>
      </c>
      <c r="N48" s="18">
        <f t="shared" si="12"/>
        <v>0.6</v>
      </c>
      <c r="O48" s="18">
        <f t="shared" si="13"/>
        <v>3</v>
      </c>
      <c r="P48" s="18">
        <f t="shared" si="14"/>
        <v>0.6</v>
      </c>
      <c r="Q48" s="18">
        <f t="shared" si="15"/>
        <v>2</v>
      </c>
      <c r="S48" s="19" t="s">
        <v>44</v>
      </c>
      <c r="Y48"/>
    </row>
    <row r="49" spans="2:25" x14ac:dyDescent="0.25">
      <c r="B49" s="1" t="s">
        <v>284</v>
      </c>
      <c r="C49" s="1" t="s">
        <v>274</v>
      </c>
      <c r="D49" s="2">
        <v>8</v>
      </c>
      <c r="E49" s="2" t="s">
        <v>17</v>
      </c>
      <c r="F49" s="2">
        <v>5</v>
      </c>
      <c r="G49" s="2">
        <v>3</v>
      </c>
      <c r="H49" s="2">
        <v>7</v>
      </c>
      <c r="I49" s="2">
        <v>1</v>
      </c>
      <c r="J49" s="18">
        <f t="shared" si="8"/>
        <v>2.2000000000000002</v>
      </c>
      <c r="K49" s="18">
        <f t="shared" si="9"/>
        <v>0.6</v>
      </c>
      <c r="L49" s="18">
        <f t="shared" si="10"/>
        <v>1.4</v>
      </c>
      <c r="M49" s="18">
        <f t="shared" si="11"/>
        <v>0.2</v>
      </c>
      <c r="N49" s="18">
        <f t="shared" si="12"/>
        <v>0.8</v>
      </c>
      <c r="O49" s="18">
        <f t="shared" si="13"/>
        <v>4</v>
      </c>
      <c r="P49" s="18">
        <f t="shared" si="14"/>
        <v>0.5</v>
      </c>
      <c r="Q49" s="18">
        <f t="shared" si="15"/>
        <v>2</v>
      </c>
      <c r="R49" s="17" t="s">
        <v>13</v>
      </c>
      <c r="T49" s="20" t="s">
        <v>285</v>
      </c>
      <c r="V49" s="3" t="s">
        <v>501</v>
      </c>
      <c r="Y49"/>
    </row>
    <row r="50" spans="2:25" hidden="1" x14ac:dyDescent="0.25">
      <c r="B50" s="1" t="s">
        <v>31</v>
      </c>
      <c r="C50" s="1" t="s">
        <v>110</v>
      </c>
      <c r="D50" s="2">
        <v>6</v>
      </c>
      <c r="E50" s="1" t="s">
        <v>59</v>
      </c>
      <c r="F50" s="2">
        <v>4</v>
      </c>
      <c r="G50" s="2">
        <v>2</v>
      </c>
      <c r="H50" s="2">
        <v>8</v>
      </c>
      <c r="I50" s="2">
        <v>1</v>
      </c>
      <c r="J50" s="18">
        <f t="shared" si="8"/>
        <v>2.75</v>
      </c>
      <c r="K50" s="18">
        <f t="shared" si="9"/>
        <v>0.5</v>
      </c>
      <c r="L50" s="18">
        <f t="shared" si="10"/>
        <v>2</v>
      </c>
      <c r="M50" s="18">
        <f t="shared" si="11"/>
        <v>0.25</v>
      </c>
      <c r="N50" s="18">
        <f t="shared" si="12"/>
        <v>0.75</v>
      </c>
      <c r="O50" s="18">
        <f t="shared" si="13"/>
        <v>3</v>
      </c>
      <c r="P50" s="18">
        <f t="shared" si="14"/>
        <v>0.5</v>
      </c>
      <c r="Q50" s="18">
        <f t="shared" si="15"/>
        <v>2.5</v>
      </c>
      <c r="S50" s="19" t="s">
        <v>45</v>
      </c>
      <c r="Y50"/>
    </row>
    <row r="51" spans="2:25" hidden="1" x14ac:dyDescent="0.25">
      <c r="B51" s="1" t="s">
        <v>348</v>
      </c>
      <c r="C51" s="1" t="s">
        <v>274</v>
      </c>
      <c r="D51" s="2">
        <v>1</v>
      </c>
      <c r="E51" s="2" t="s">
        <v>17</v>
      </c>
      <c r="F51" s="2">
        <v>5</v>
      </c>
      <c r="G51" s="2">
        <v>2</v>
      </c>
      <c r="H51" s="2">
        <v>7</v>
      </c>
      <c r="I51" s="2">
        <v>1</v>
      </c>
      <c r="J51" s="18">
        <f t="shared" si="8"/>
        <v>2</v>
      </c>
      <c r="K51" s="18">
        <f t="shared" si="9"/>
        <v>0.4</v>
      </c>
      <c r="L51" s="18">
        <f t="shared" si="10"/>
        <v>1.4</v>
      </c>
      <c r="M51" s="18">
        <f t="shared" si="11"/>
        <v>0.2</v>
      </c>
      <c r="N51" s="18">
        <f t="shared" si="12"/>
        <v>0.6</v>
      </c>
      <c r="O51" s="18">
        <f t="shared" si="13"/>
        <v>3</v>
      </c>
      <c r="P51" s="18">
        <f t="shared" si="14"/>
        <v>3</v>
      </c>
      <c r="Q51" s="18">
        <f t="shared" si="15"/>
        <v>1.7999999999999998</v>
      </c>
      <c r="Y51"/>
    </row>
    <row r="52" spans="2:25" hidden="1" x14ac:dyDescent="0.25">
      <c r="B52" s="1" t="s">
        <v>36</v>
      </c>
      <c r="C52" s="1" t="s">
        <v>110</v>
      </c>
      <c r="D52" s="2">
        <v>6</v>
      </c>
      <c r="E52" s="2" t="s">
        <v>42</v>
      </c>
      <c r="F52" s="2">
        <v>5</v>
      </c>
      <c r="G52" s="2">
        <v>1</v>
      </c>
      <c r="H52" s="2">
        <v>7</v>
      </c>
      <c r="I52" s="2">
        <v>1</v>
      </c>
      <c r="J52" s="18">
        <f t="shared" si="8"/>
        <v>1.8</v>
      </c>
      <c r="K52" s="18">
        <f t="shared" si="9"/>
        <v>0.2</v>
      </c>
      <c r="L52" s="18">
        <f t="shared" si="10"/>
        <v>1.4</v>
      </c>
      <c r="M52" s="18">
        <f t="shared" si="11"/>
        <v>0.2</v>
      </c>
      <c r="N52" s="18">
        <f t="shared" si="12"/>
        <v>0.4</v>
      </c>
      <c r="O52" s="18">
        <f t="shared" si="13"/>
        <v>2</v>
      </c>
      <c r="P52" s="18">
        <f t="shared" si="14"/>
        <v>0.33333333333333331</v>
      </c>
      <c r="Q52" s="18">
        <f t="shared" si="15"/>
        <v>1.5999999999999999</v>
      </c>
      <c r="S52" s="19" t="s">
        <v>102</v>
      </c>
      <c r="Y52"/>
    </row>
    <row r="53" spans="2:25" hidden="1" x14ac:dyDescent="0.25">
      <c r="B53" s="1" t="s">
        <v>127</v>
      </c>
      <c r="C53" s="1" t="s">
        <v>110</v>
      </c>
      <c r="D53" s="2">
        <v>5</v>
      </c>
      <c r="E53" s="2" t="s">
        <v>16</v>
      </c>
      <c r="F53" s="2">
        <v>5</v>
      </c>
      <c r="G53" s="2">
        <v>1</v>
      </c>
      <c r="H53" s="2">
        <v>6</v>
      </c>
      <c r="I53" s="2">
        <v>1</v>
      </c>
      <c r="J53" s="18">
        <f t="shared" si="8"/>
        <v>1.6</v>
      </c>
      <c r="K53" s="18">
        <f t="shared" si="9"/>
        <v>0.2</v>
      </c>
      <c r="L53" s="18">
        <f t="shared" si="10"/>
        <v>1.2</v>
      </c>
      <c r="M53" s="18">
        <f t="shared" si="11"/>
        <v>0.2</v>
      </c>
      <c r="N53" s="18">
        <f t="shared" si="12"/>
        <v>0.4</v>
      </c>
      <c r="O53" s="18">
        <f t="shared" si="13"/>
        <v>2</v>
      </c>
      <c r="P53" s="18">
        <f t="shared" si="14"/>
        <v>0.4</v>
      </c>
      <c r="Q53" s="18">
        <f t="shared" si="15"/>
        <v>1.4</v>
      </c>
      <c r="S53" s="19" t="s">
        <v>128</v>
      </c>
      <c r="Y53"/>
    </row>
    <row r="54" spans="2:25" hidden="1" x14ac:dyDescent="0.25">
      <c r="B54" s="1" t="s">
        <v>35</v>
      </c>
      <c r="C54" s="1" t="s">
        <v>110</v>
      </c>
      <c r="D54" s="2">
        <v>4</v>
      </c>
      <c r="E54" s="2" t="s">
        <v>42</v>
      </c>
      <c r="F54" s="2">
        <v>5</v>
      </c>
      <c r="G54" s="2">
        <v>1</v>
      </c>
      <c r="H54" s="2">
        <v>5</v>
      </c>
      <c r="I54" s="2">
        <v>1</v>
      </c>
      <c r="J54" s="18">
        <f t="shared" si="8"/>
        <v>1.4</v>
      </c>
      <c r="K54" s="18">
        <f t="shared" si="9"/>
        <v>0.2</v>
      </c>
      <c r="L54" s="18">
        <f t="shared" si="10"/>
        <v>1</v>
      </c>
      <c r="M54" s="18">
        <f t="shared" si="11"/>
        <v>0.2</v>
      </c>
      <c r="N54" s="18">
        <f t="shared" si="12"/>
        <v>0.4</v>
      </c>
      <c r="O54" s="18">
        <f t="shared" si="13"/>
        <v>2</v>
      </c>
      <c r="P54" s="18">
        <f t="shared" si="14"/>
        <v>0.5</v>
      </c>
      <c r="Q54" s="18">
        <f t="shared" si="15"/>
        <v>1.2</v>
      </c>
      <c r="S54" s="19" t="s">
        <v>507</v>
      </c>
      <c r="Y54"/>
    </row>
    <row r="55" spans="2:25" hidden="1" x14ac:dyDescent="0.25">
      <c r="B55" s="1" t="s">
        <v>345</v>
      </c>
      <c r="C55" s="1" t="s">
        <v>106</v>
      </c>
      <c r="D55" s="2">
        <v>1</v>
      </c>
      <c r="E55" s="2" t="s">
        <v>17</v>
      </c>
      <c r="F55" s="2">
        <v>5</v>
      </c>
      <c r="G55" s="2">
        <v>3</v>
      </c>
      <c r="H55" s="2">
        <v>5</v>
      </c>
      <c r="I55" s="2">
        <v>1</v>
      </c>
      <c r="J55" s="18">
        <f t="shared" si="8"/>
        <v>1.8</v>
      </c>
      <c r="K55" s="18">
        <f t="shared" si="9"/>
        <v>0.6</v>
      </c>
      <c r="L55" s="18">
        <f t="shared" si="10"/>
        <v>1</v>
      </c>
      <c r="M55" s="18">
        <f t="shared" si="11"/>
        <v>0.2</v>
      </c>
      <c r="N55" s="18">
        <f t="shared" si="12"/>
        <v>0.8</v>
      </c>
      <c r="O55" s="18">
        <f t="shared" si="13"/>
        <v>4</v>
      </c>
      <c r="P55" s="18">
        <f t="shared" si="14"/>
        <v>4</v>
      </c>
      <c r="Q55" s="18">
        <f t="shared" si="15"/>
        <v>1.6</v>
      </c>
      <c r="Y55"/>
    </row>
    <row r="56" spans="2:25" hidden="1" x14ac:dyDescent="0.25">
      <c r="B56" s="1" t="s">
        <v>9</v>
      </c>
      <c r="C56" s="1" t="s">
        <v>110</v>
      </c>
      <c r="D56" s="2">
        <v>6</v>
      </c>
      <c r="E56" s="2" t="s">
        <v>17</v>
      </c>
      <c r="F56" s="2">
        <v>4</v>
      </c>
      <c r="G56" s="2">
        <v>2</v>
      </c>
      <c r="H56" s="2">
        <v>7</v>
      </c>
      <c r="I56" s="2">
        <v>1</v>
      </c>
      <c r="J56" s="18">
        <f t="shared" si="8"/>
        <v>2.5</v>
      </c>
      <c r="K56" s="18">
        <f t="shared" si="9"/>
        <v>0.5</v>
      </c>
      <c r="L56" s="18">
        <f t="shared" si="10"/>
        <v>1.75</v>
      </c>
      <c r="M56" s="18">
        <f t="shared" si="11"/>
        <v>0.25</v>
      </c>
      <c r="N56" s="18">
        <f t="shared" si="12"/>
        <v>0.75</v>
      </c>
      <c r="O56" s="18">
        <f t="shared" si="13"/>
        <v>3</v>
      </c>
      <c r="P56" s="18">
        <f t="shared" si="14"/>
        <v>0.5</v>
      </c>
      <c r="Q56" s="18">
        <f t="shared" si="15"/>
        <v>2.25</v>
      </c>
      <c r="R56" s="17" t="s">
        <v>13</v>
      </c>
      <c r="S56" s="19" t="s">
        <v>14</v>
      </c>
      <c r="Y56"/>
    </row>
    <row r="57" spans="2:25" hidden="1" x14ac:dyDescent="0.25">
      <c r="B57" s="1" t="s">
        <v>218</v>
      </c>
      <c r="C57" s="1" t="s">
        <v>106</v>
      </c>
      <c r="D57" s="2">
        <v>10</v>
      </c>
      <c r="E57" s="2" t="s">
        <v>17</v>
      </c>
      <c r="F57" s="2">
        <v>6</v>
      </c>
      <c r="G57" s="2">
        <v>4</v>
      </c>
      <c r="H57" s="2">
        <v>9</v>
      </c>
      <c r="I57" s="2">
        <v>1</v>
      </c>
      <c r="J57" s="18">
        <f t="shared" si="8"/>
        <v>2.3333333333333335</v>
      </c>
      <c r="K57" s="18">
        <f t="shared" si="9"/>
        <v>0.66666666666666663</v>
      </c>
      <c r="L57" s="18">
        <f t="shared" si="10"/>
        <v>1.5</v>
      </c>
      <c r="M57" s="18">
        <f t="shared" si="11"/>
        <v>0.16666666666666666</v>
      </c>
      <c r="N57" s="18">
        <f t="shared" si="12"/>
        <v>0.83333333333333337</v>
      </c>
      <c r="O57" s="18">
        <f t="shared" si="13"/>
        <v>5</v>
      </c>
      <c r="P57" s="18">
        <f t="shared" si="14"/>
        <v>0.5</v>
      </c>
      <c r="Q57" s="18">
        <f t="shared" si="15"/>
        <v>2.1666666666666665</v>
      </c>
      <c r="R57" s="17" t="s">
        <v>47</v>
      </c>
      <c r="U57" s="35" t="s">
        <v>221</v>
      </c>
      <c r="X57" s="5" t="s">
        <v>222</v>
      </c>
      <c r="Y57"/>
    </row>
    <row r="58" spans="2:25" hidden="1" x14ac:dyDescent="0.25">
      <c r="B58" s="1" t="s">
        <v>214</v>
      </c>
      <c r="C58" s="1" t="s">
        <v>106</v>
      </c>
      <c r="D58" s="2">
        <v>9</v>
      </c>
      <c r="E58" s="2" t="s">
        <v>17</v>
      </c>
      <c r="F58" s="2">
        <v>6</v>
      </c>
      <c r="G58" s="2">
        <v>4</v>
      </c>
      <c r="H58" s="2">
        <v>7</v>
      </c>
      <c r="I58" s="2">
        <v>1</v>
      </c>
      <c r="J58" s="18">
        <f t="shared" si="8"/>
        <v>2</v>
      </c>
      <c r="K58" s="18">
        <f t="shared" si="9"/>
        <v>0.66666666666666663</v>
      </c>
      <c r="L58" s="18">
        <f t="shared" si="10"/>
        <v>1.1666666666666667</v>
      </c>
      <c r="M58" s="18">
        <f t="shared" si="11"/>
        <v>0.16666666666666666</v>
      </c>
      <c r="N58" s="18">
        <f t="shared" si="12"/>
        <v>0.83333333333333337</v>
      </c>
      <c r="O58" s="18">
        <f t="shared" si="13"/>
        <v>5</v>
      </c>
      <c r="P58" s="18">
        <f t="shared" si="14"/>
        <v>0.55555555555555558</v>
      </c>
      <c r="Q58" s="18">
        <f t="shared" si="15"/>
        <v>1.8333333333333335</v>
      </c>
      <c r="R58" s="17" t="s">
        <v>43</v>
      </c>
      <c r="U58" s="35" t="s">
        <v>75</v>
      </c>
      <c r="V58" s="3" t="s">
        <v>217</v>
      </c>
      <c r="Y58"/>
    </row>
    <row r="59" spans="2:25" hidden="1" x14ac:dyDescent="0.25">
      <c r="B59" s="1" t="s">
        <v>343</v>
      </c>
      <c r="C59" s="1" t="s">
        <v>110</v>
      </c>
      <c r="D59" s="2">
        <v>1</v>
      </c>
      <c r="E59" s="2" t="s">
        <v>18</v>
      </c>
      <c r="F59" s="2">
        <v>6</v>
      </c>
      <c r="G59" s="2">
        <v>3</v>
      </c>
      <c r="H59" s="2">
        <v>8</v>
      </c>
      <c r="I59" s="2">
        <v>1</v>
      </c>
      <c r="J59" s="18">
        <f t="shared" si="8"/>
        <v>2</v>
      </c>
      <c r="K59" s="18">
        <f t="shared" si="9"/>
        <v>0.5</v>
      </c>
      <c r="L59" s="18">
        <f t="shared" si="10"/>
        <v>1.3333333333333333</v>
      </c>
      <c r="M59" s="18">
        <f t="shared" si="11"/>
        <v>0.16666666666666666</v>
      </c>
      <c r="N59" s="18">
        <f t="shared" si="12"/>
        <v>0.66666666666666663</v>
      </c>
      <c r="O59" s="18">
        <f t="shared" si="13"/>
        <v>4</v>
      </c>
      <c r="P59" s="18">
        <f t="shared" si="14"/>
        <v>4</v>
      </c>
      <c r="Q59" s="18">
        <f t="shared" si="15"/>
        <v>1.8333333333333333</v>
      </c>
      <c r="Y59"/>
    </row>
    <row r="60" spans="2:25" hidden="1" x14ac:dyDescent="0.25">
      <c r="B60" s="1" t="s">
        <v>232</v>
      </c>
      <c r="C60" s="1" t="s">
        <v>106</v>
      </c>
      <c r="D60" s="2">
        <v>8</v>
      </c>
      <c r="E60" s="2" t="s">
        <v>59</v>
      </c>
      <c r="F60" s="2">
        <v>6</v>
      </c>
      <c r="G60" s="2">
        <v>3</v>
      </c>
      <c r="H60" s="2">
        <v>8</v>
      </c>
      <c r="I60" s="2">
        <v>1</v>
      </c>
      <c r="J60" s="18">
        <f t="shared" si="8"/>
        <v>2</v>
      </c>
      <c r="K60" s="18">
        <f t="shared" si="9"/>
        <v>0.5</v>
      </c>
      <c r="L60" s="18">
        <f t="shared" si="10"/>
        <v>1.3333333333333333</v>
      </c>
      <c r="M60" s="18">
        <f t="shared" si="11"/>
        <v>0.16666666666666666</v>
      </c>
      <c r="N60" s="18">
        <f t="shared" si="12"/>
        <v>0.66666666666666663</v>
      </c>
      <c r="O60" s="18">
        <f t="shared" si="13"/>
        <v>4</v>
      </c>
      <c r="P60" s="18">
        <f t="shared" si="14"/>
        <v>0.5</v>
      </c>
      <c r="Q60" s="18">
        <f t="shared" si="15"/>
        <v>1.8333333333333333</v>
      </c>
      <c r="R60" s="17" t="s">
        <v>88</v>
      </c>
      <c r="U60" s="35" t="s">
        <v>233</v>
      </c>
      <c r="W60" s="4" t="s">
        <v>75</v>
      </c>
      <c r="Y60"/>
    </row>
    <row r="61" spans="2:25" x14ac:dyDescent="0.25">
      <c r="B61" s="1" t="s">
        <v>229</v>
      </c>
      <c r="C61" s="1" t="s">
        <v>106</v>
      </c>
      <c r="D61" s="2">
        <v>6</v>
      </c>
      <c r="E61" s="2" t="s">
        <v>59</v>
      </c>
      <c r="F61" s="2">
        <v>4</v>
      </c>
      <c r="G61" s="2">
        <v>2</v>
      </c>
      <c r="H61" s="2">
        <v>6</v>
      </c>
      <c r="I61" s="2">
        <v>0</v>
      </c>
      <c r="J61" s="18">
        <f t="shared" si="8"/>
        <v>2</v>
      </c>
      <c r="K61" s="18">
        <f t="shared" si="9"/>
        <v>0.5</v>
      </c>
      <c r="L61" s="18">
        <f t="shared" si="10"/>
        <v>1.5</v>
      </c>
      <c r="M61" s="18">
        <f t="shared" si="11"/>
        <v>0</v>
      </c>
      <c r="N61" s="18">
        <f t="shared" si="12"/>
        <v>0.5</v>
      </c>
      <c r="O61" s="18">
        <f t="shared" si="13"/>
        <v>2</v>
      </c>
      <c r="P61" s="18">
        <f t="shared" si="14"/>
        <v>0.33333333333333331</v>
      </c>
      <c r="Q61" s="18">
        <f t="shared" si="15"/>
        <v>2</v>
      </c>
      <c r="R61" s="17" t="s">
        <v>7</v>
      </c>
      <c r="U61" s="35" t="s">
        <v>132</v>
      </c>
      <c r="Y61"/>
    </row>
    <row r="62" spans="2:25" hidden="1" x14ac:dyDescent="0.25">
      <c r="B62" s="1" t="s">
        <v>49</v>
      </c>
      <c r="C62" s="1" t="s">
        <v>110</v>
      </c>
      <c r="D62" s="2">
        <v>8</v>
      </c>
      <c r="E62" s="2" t="s">
        <v>17</v>
      </c>
      <c r="F62" s="2">
        <v>6</v>
      </c>
      <c r="G62" s="2">
        <v>3</v>
      </c>
      <c r="H62" s="2">
        <v>7</v>
      </c>
      <c r="I62" s="2">
        <v>1</v>
      </c>
      <c r="J62" s="18">
        <f t="shared" si="8"/>
        <v>1.8333333333333333</v>
      </c>
      <c r="K62" s="18">
        <f t="shared" si="9"/>
        <v>0.5</v>
      </c>
      <c r="L62" s="18">
        <f t="shared" si="10"/>
        <v>1.1666666666666667</v>
      </c>
      <c r="M62" s="18">
        <f t="shared" si="11"/>
        <v>0.16666666666666666</v>
      </c>
      <c r="N62" s="18">
        <f t="shared" si="12"/>
        <v>0.66666666666666663</v>
      </c>
      <c r="O62" s="18">
        <f t="shared" si="13"/>
        <v>4</v>
      </c>
      <c r="P62" s="18">
        <f t="shared" si="14"/>
        <v>0.5</v>
      </c>
      <c r="Q62" s="18">
        <f t="shared" si="15"/>
        <v>1.6666666666666667</v>
      </c>
      <c r="S62" s="19" t="s">
        <v>52</v>
      </c>
      <c r="W62" s="4" t="s">
        <v>54</v>
      </c>
      <c r="Y62"/>
    </row>
    <row r="63" spans="2:25" hidden="1" x14ac:dyDescent="0.25">
      <c r="B63" s="1" t="s">
        <v>303</v>
      </c>
      <c r="C63" s="1" t="s">
        <v>274</v>
      </c>
      <c r="D63" s="2">
        <v>6</v>
      </c>
      <c r="E63" s="2" t="s">
        <v>59</v>
      </c>
      <c r="F63" s="2">
        <v>6</v>
      </c>
      <c r="G63" s="2">
        <v>2</v>
      </c>
      <c r="H63" s="2">
        <v>8</v>
      </c>
      <c r="I63" s="2">
        <v>1</v>
      </c>
      <c r="J63" s="18">
        <f t="shared" si="8"/>
        <v>1.8333333333333333</v>
      </c>
      <c r="K63" s="18">
        <f t="shared" si="9"/>
        <v>0.33333333333333331</v>
      </c>
      <c r="L63" s="18">
        <f t="shared" si="10"/>
        <v>1.3333333333333333</v>
      </c>
      <c r="M63" s="18">
        <f t="shared" si="11"/>
        <v>0.16666666666666666</v>
      </c>
      <c r="N63" s="18">
        <f t="shared" si="12"/>
        <v>0.5</v>
      </c>
      <c r="O63" s="18">
        <f t="shared" si="13"/>
        <v>3</v>
      </c>
      <c r="P63" s="18">
        <f t="shared" si="14"/>
        <v>0.5</v>
      </c>
      <c r="Q63" s="18">
        <f t="shared" si="15"/>
        <v>1.6666666666666665</v>
      </c>
      <c r="R63" s="17" t="s">
        <v>43</v>
      </c>
      <c r="T63" s="20" t="s">
        <v>304</v>
      </c>
      <c r="Y63"/>
    </row>
    <row r="64" spans="2:25" hidden="1" x14ac:dyDescent="0.25">
      <c r="B64" s="1" t="s">
        <v>252</v>
      </c>
      <c r="C64" s="1" t="s">
        <v>106</v>
      </c>
      <c r="D64" s="2">
        <v>8</v>
      </c>
      <c r="E64" s="2" t="s">
        <v>42</v>
      </c>
      <c r="F64" s="2">
        <v>6</v>
      </c>
      <c r="G64" s="2">
        <v>2</v>
      </c>
      <c r="H64" s="2">
        <v>6</v>
      </c>
      <c r="I64" s="2">
        <v>1</v>
      </c>
      <c r="J64" s="18">
        <f t="shared" si="8"/>
        <v>1.5</v>
      </c>
      <c r="K64" s="18">
        <f t="shared" si="9"/>
        <v>0.33333333333333331</v>
      </c>
      <c r="L64" s="18">
        <f t="shared" si="10"/>
        <v>1</v>
      </c>
      <c r="M64" s="18">
        <f t="shared" si="11"/>
        <v>0.16666666666666666</v>
      </c>
      <c r="N64" s="18">
        <f t="shared" si="12"/>
        <v>0.5</v>
      </c>
      <c r="O64" s="18">
        <f t="shared" si="13"/>
        <v>3</v>
      </c>
      <c r="P64" s="18">
        <f t="shared" si="14"/>
        <v>0.375</v>
      </c>
      <c r="Q64" s="18">
        <f t="shared" si="15"/>
        <v>1.3333333333333333</v>
      </c>
      <c r="U64" s="35" t="s">
        <v>253</v>
      </c>
      <c r="V64" s="3" t="s">
        <v>254</v>
      </c>
      <c r="Y64"/>
    </row>
    <row r="65" spans="2:25" x14ac:dyDescent="0.25">
      <c r="B65" s="1" t="s">
        <v>320</v>
      </c>
      <c r="C65" s="1" t="s">
        <v>274</v>
      </c>
      <c r="D65" s="2">
        <v>7</v>
      </c>
      <c r="E65" s="2" t="s">
        <v>42</v>
      </c>
      <c r="F65" s="2">
        <v>6</v>
      </c>
      <c r="G65" s="2">
        <v>2</v>
      </c>
      <c r="H65" s="2">
        <v>5</v>
      </c>
      <c r="I65" s="2">
        <v>1</v>
      </c>
      <c r="J65" s="18">
        <f t="shared" si="8"/>
        <v>1.3333333333333333</v>
      </c>
      <c r="K65" s="18">
        <f t="shared" si="9"/>
        <v>0.33333333333333331</v>
      </c>
      <c r="L65" s="18">
        <f t="shared" si="10"/>
        <v>0.83333333333333337</v>
      </c>
      <c r="M65" s="18">
        <f t="shared" si="11"/>
        <v>0.16666666666666666</v>
      </c>
      <c r="N65" s="18">
        <f t="shared" si="12"/>
        <v>0.5</v>
      </c>
      <c r="O65" s="18">
        <f t="shared" si="13"/>
        <v>3</v>
      </c>
      <c r="P65" s="18">
        <f t="shared" si="14"/>
        <v>0.42857142857142855</v>
      </c>
      <c r="Q65" s="18">
        <f t="shared" si="15"/>
        <v>1.1666666666666667</v>
      </c>
      <c r="T65" s="20" t="s">
        <v>321</v>
      </c>
      <c r="Y65"/>
    </row>
    <row r="66" spans="2:25" hidden="1" x14ac:dyDescent="0.25">
      <c r="B66" s="1" t="s">
        <v>319</v>
      </c>
      <c r="C66" s="1" t="s">
        <v>274</v>
      </c>
      <c r="D66" s="2">
        <v>6</v>
      </c>
      <c r="E66" s="2" t="s">
        <v>42</v>
      </c>
      <c r="F66" s="2">
        <v>6</v>
      </c>
      <c r="G66" s="2">
        <v>2</v>
      </c>
      <c r="H66" s="2">
        <v>5</v>
      </c>
      <c r="I66" s="2">
        <v>1</v>
      </c>
      <c r="J66" s="18">
        <f t="shared" si="8"/>
        <v>1.3333333333333333</v>
      </c>
      <c r="K66" s="18">
        <f t="shared" si="9"/>
        <v>0.33333333333333331</v>
      </c>
      <c r="L66" s="18">
        <f t="shared" si="10"/>
        <v>0.83333333333333337</v>
      </c>
      <c r="M66" s="18">
        <f t="shared" si="11"/>
        <v>0.16666666666666666</v>
      </c>
      <c r="N66" s="18">
        <f t="shared" si="12"/>
        <v>0.5</v>
      </c>
      <c r="O66" s="18">
        <f t="shared" si="13"/>
        <v>3</v>
      </c>
      <c r="P66" s="18">
        <f t="shared" si="14"/>
        <v>0.5</v>
      </c>
      <c r="Q66" s="18">
        <f t="shared" si="15"/>
        <v>1.1666666666666667</v>
      </c>
      <c r="T66" s="20" t="s">
        <v>43</v>
      </c>
      <c r="Y66"/>
    </row>
    <row r="67" spans="2:25" hidden="1" x14ac:dyDescent="0.25">
      <c r="B67" s="1" t="s">
        <v>339</v>
      </c>
      <c r="C67" s="1" t="s">
        <v>274</v>
      </c>
      <c r="D67" s="2">
        <v>8</v>
      </c>
      <c r="E67" s="2" t="s">
        <v>42</v>
      </c>
      <c r="F67" s="2">
        <v>6</v>
      </c>
      <c r="G67" s="2">
        <v>2</v>
      </c>
      <c r="H67" s="2">
        <v>5</v>
      </c>
      <c r="I67" s="2">
        <v>1</v>
      </c>
      <c r="J67" s="18">
        <f t="shared" si="8"/>
        <v>1.3333333333333333</v>
      </c>
      <c r="K67" s="18">
        <f t="shared" si="9"/>
        <v>0.33333333333333331</v>
      </c>
      <c r="L67" s="18">
        <f t="shared" si="10"/>
        <v>0.83333333333333337</v>
      </c>
      <c r="M67" s="18">
        <f t="shared" si="11"/>
        <v>0.16666666666666666</v>
      </c>
      <c r="N67" s="18">
        <f t="shared" si="12"/>
        <v>0.5</v>
      </c>
      <c r="O67" s="18">
        <f t="shared" si="13"/>
        <v>3</v>
      </c>
      <c r="P67" s="18">
        <f t="shared" si="14"/>
        <v>0.375</v>
      </c>
      <c r="Q67" s="18">
        <f t="shared" si="15"/>
        <v>1.1666666666666667</v>
      </c>
      <c r="T67" s="20" t="s">
        <v>340</v>
      </c>
      <c r="W67" s="4" t="s">
        <v>341</v>
      </c>
      <c r="Y67"/>
    </row>
    <row r="68" spans="2:25" hidden="1" x14ac:dyDescent="0.25">
      <c r="B68" s="1" t="s">
        <v>316</v>
      </c>
      <c r="C68" s="1" t="s">
        <v>274</v>
      </c>
      <c r="D68" s="2">
        <v>4</v>
      </c>
      <c r="E68" s="2" t="s">
        <v>42</v>
      </c>
      <c r="F68" s="2">
        <v>6</v>
      </c>
      <c r="G68" s="2">
        <v>1</v>
      </c>
      <c r="H68" s="2">
        <v>5</v>
      </c>
      <c r="I68" s="2">
        <v>1</v>
      </c>
      <c r="J68" s="18">
        <f t="shared" si="8"/>
        <v>1.1666666666666667</v>
      </c>
      <c r="K68" s="18">
        <f t="shared" si="9"/>
        <v>0.16666666666666666</v>
      </c>
      <c r="L68" s="18">
        <f t="shared" si="10"/>
        <v>0.83333333333333337</v>
      </c>
      <c r="M68" s="18">
        <f t="shared" si="11"/>
        <v>0.16666666666666666</v>
      </c>
      <c r="N68" s="18">
        <f t="shared" si="12"/>
        <v>0.33333333333333331</v>
      </c>
      <c r="O68" s="18">
        <f t="shared" si="13"/>
        <v>2</v>
      </c>
      <c r="P68" s="18">
        <f t="shared" si="14"/>
        <v>0.5</v>
      </c>
      <c r="Q68" s="18">
        <f t="shared" si="15"/>
        <v>1</v>
      </c>
      <c r="T68" s="20" t="s">
        <v>317</v>
      </c>
      <c r="Y68"/>
    </row>
    <row r="69" spans="2:25" hidden="1" x14ac:dyDescent="0.25">
      <c r="B69" s="1" t="s">
        <v>34</v>
      </c>
      <c r="C69" s="1" t="s">
        <v>110</v>
      </c>
      <c r="D69" s="2">
        <v>3</v>
      </c>
      <c r="E69" s="2" t="s">
        <v>42</v>
      </c>
      <c r="F69" s="2">
        <v>6</v>
      </c>
      <c r="G69" s="2">
        <v>1</v>
      </c>
      <c r="H69" s="2">
        <v>4</v>
      </c>
      <c r="I69" s="2">
        <v>1</v>
      </c>
      <c r="J69" s="18">
        <f t="shared" ref="J69:J100" si="16">(G69+H69+I69)/F69</f>
        <v>1</v>
      </c>
      <c r="K69" s="18">
        <f t="shared" ref="K69:K100" si="17">G69/F69</f>
        <v>0.16666666666666666</v>
      </c>
      <c r="L69" s="18">
        <f t="shared" ref="L69:L100" si="18">H69/F69</f>
        <v>0.66666666666666663</v>
      </c>
      <c r="M69" s="18">
        <f t="shared" ref="M69:M100" si="19">I69/F69</f>
        <v>0.16666666666666666</v>
      </c>
      <c r="N69" s="18">
        <f t="shared" ref="N69:N100" si="20">(G69+I69)/F69</f>
        <v>0.33333333333333331</v>
      </c>
      <c r="O69" s="18">
        <f t="shared" ref="O69:O100" si="21">G69+I69</f>
        <v>2</v>
      </c>
      <c r="P69" s="18">
        <f t="shared" ref="P69:P100" si="22">O69/D69</f>
        <v>0.66666666666666663</v>
      </c>
      <c r="Q69" s="18">
        <f t="shared" ref="Q69:Q100" si="23">K69+L69</f>
        <v>0.83333333333333326</v>
      </c>
      <c r="S69" s="19" t="s">
        <v>96</v>
      </c>
      <c r="Y69"/>
    </row>
    <row r="70" spans="2:25" hidden="1" x14ac:dyDescent="0.25">
      <c r="B70" s="1" t="s">
        <v>51</v>
      </c>
      <c r="C70" s="1" t="s">
        <v>110</v>
      </c>
      <c r="D70" s="2">
        <v>10</v>
      </c>
      <c r="E70" s="2" t="s">
        <v>17</v>
      </c>
      <c r="F70" s="2">
        <v>7</v>
      </c>
      <c r="G70" s="2">
        <v>3</v>
      </c>
      <c r="H70" s="2">
        <v>12</v>
      </c>
      <c r="I70" s="2">
        <v>1</v>
      </c>
      <c r="J70" s="18">
        <f t="shared" si="16"/>
        <v>2.2857142857142856</v>
      </c>
      <c r="K70" s="18">
        <f t="shared" si="17"/>
        <v>0.42857142857142855</v>
      </c>
      <c r="L70" s="18">
        <f t="shared" si="18"/>
        <v>1.7142857142857142</v>
      </c>
      <c r="M70" s="18">
        <f t="shared" si="19"/>
        <v>0.14285714285714285</v>
      </c>
      <c r="N70" s="18">
        <f t="shared" si="20"/>
        <v>0.5714285714285714</v>
      </c>
      <c r="O70" s="18">
        <f t="shared" si="21"/>
        <v>4</v>
      </c>
      <c r="P70" s="18">
        <f t="shared" si="22"/>
        <v>0.4</v>
      </c>
      <c r="Q70" s="18">
        <f t="shared" si="23"/>
        <v>2.1428571428571428</v>
      </c>
      <c r="R70" s="17" t="s">
        <v>41</v>
      </c>
      <c r="S70" s="19" t="s">
        <v>94</v>
      </c>
      <c r="V70" s="3" t="s">
        <v>95</v>
      </c>
      <c r="Y70"/>
    </row>
    <row r="71" spans="2:25" hidden="1" x14ac:dyDescent="0.25">
      <c r="B71" s="1" t="s">
        <v>33</v>
      </c>
      <c r="C71" s="1" t="s">
        <v>110</v>
      </c>
      <c r="D71" s="2">
        <v>8</v>
      </c>
      <c r="E71" s="1" t="s">
        <v>59</v>
      </c>
      <c r="F71" s="2">
        <v>7</v>
      </c>
      <c r="G71" s="2">
        <v>3</v>
      </c>
      <c r="H71" s="2">
        <v>10</v>
      </c>
      <c r="I71" s="2">
        <v>1</v>
      </c>
      <c r="J71" s="18">
        <f t="shared" si="16"/>
        <v>2</v>
      </c>
      <c r="K71" s="18">
        <f t="shared" si="17"/>
        <v>0.42857142857142855</v>
      </c>
      <c r="L71" s="18">
        <f t="shared" si="18"/>
        <v>1.4285714285714286</v>
      </c>
      <c r="M71" s="18">
        <f t="shared" si="19"/>
        <v>0.14285714285714285</v>
      </c>
      <c r="N71" s="18">
        <f t="shared" si="20"/>
        <v>0.5714285714285714</v>
      </c>
      <c r="O71" s="18">
        <f t="shared" si="21"/>
        <v>4</v>
      </c>
      <c r="P71" s="18">
        <f t="shared" si="22"/>
        <v>0.5</v>
      </c>
      <c r="Q71" s="18">
        <f t="shared" si="23"/>
        <v>1.8571428571428572</v>
      </c>
      <c r="S71" s="19" t="s">
        <v>46</v>
      </c>
      <c r="V71" s="3" t="s">
        <v>41</v>
      </c>
      <c r="Y71"/>
    </row>
    <row r="72" spans="2:25" hidden="1" x14ac:dyDescent="0.25">
      <c r="B72" s="1" t="s">
        <v>291</v>
      </c>
      <c r="C72" s="1" t="s">
        <v>274</v>
      </c>
      <c r="D72" s="2">
        <v>7</v>
      </c>
      <c r="E72" s="2" t="s">
        <v>18</v>
      </c>
      <c r="F72" s="2">
        <v>7</v>
      </c>
      <c r="G72" s="2">
        <v>3</v>
      </c>
      <c r="H72" s="2">
        <v>9</v>
      </c>
      <c r="I72" s="2">
        <v>1</v>
      </c>
      <c r="J72" s="18">
        <f t="shared" si="16"/>
        <v>1.8571428571428572</v>
      </c>
      <c r="K72" s="18">
        <f t="shared" si="17"/>
        <v>0.42857142857142855</v>
      </c>
      <c r="L72" s="18">
        <f t="shared" si="18"/>
        <v>1.2857142857142858</v>
      </c>
      <c r="M72" s="18">
        <f t="shared" si="19"/>
        <v>0.14285714285714285</v>
      </c>
      <c r="N72" s="18">
        <f t="shared" si="20"/>
        <v>0.5714285714285714</v>
      </c>
      <c r="O72" s="18">
        <f t="shared" si="21"/>
        <v>4</v>
      </c>
      <c r="P72" s="18">
        <f t="shared" si="22"/>
        <v>0.5714285714285714</v>
      </c>
      <c r="Q72" s="18">
        <f t="shared" si="23"/>
        <v>1.7142857142857144</v>
      </c>
      <c r="T72" s="20" t="s">
        <v>292</v>
      </c>
      <c r="Y72"/>
    </row>
    <row r="73" spans="2:25" hidden="1" x14ac:dyDescent="0.25">
      <c r="B73" s="1" t="s">
        <v>234</v>
      </c>
      <c r="C73" s="1" t="s">
        <v>106</v>
      </c>
      <c r="D73" s="2">
        <v>9</v>
      </c>
      <c r="E73" s="2" t="s">
        <v>59</v>
      </c>
      <c r="F73" s="2">
        <v>7</v>
      </c>
      <c r="G73" s="2">
        <v>4</v>
      </c>
      <c r="H73" s="2">
        <v>8</v>
      </c>
      <c r="I73" s="2">
        <v>1</v>
      </c>
      <c r="J73" s="18">
        <f t="shared" si="16"/>
        <v>1.8571428571428572</v>
      </c>
      <c r="K73" s="18">
        <f t="shared" si="17"/>
        <v>0.5714285714285714</v>
      </c>
      <c r="L73" s="18">
        <f t="shared" si="18"/>
        <v>1.1428571428571428</v>
      </c>
      <c r="M73" s="18">
        <f t="shared" si="19"/>
        <v>0.14285714285714285</v>
      </c>
      <c r="N73" s="18">
        <f t="shared" si="20"/>
        <v>0.7142857142857143</v>
      </c>
      <c r="O73" s="18">
        <f t="shared" si="21"/>
        <v>5</v>
      </c>
      <c r="P73" s="18">
        <f t="shared" si="22"/>
        <v>0.55555555555555558</v>
      </c>
      <c r="Q73" s="18">
        <f t="shared" si="23"/>
        <v>1.7142857142857142</v>
      </c>
      <c r="R73" s="17" t="s">
        <v>41</v>
      </c>
      <c r="U73" s="35" t="s">
        <v>235</v>
      </c>
      <c r="V73" s="3" t="s">
        <v>260</v>
      </c>
      <c r="Y73"/>
    </row>
    <row r="74" spans="2:25" hidden="1" x14ac:dyDescent="0.25">
      <c r="B74" s="1" t="s">
        <v>50</v>
      </c>
      <c r="C74" s="1" t="s">
        <v>110</v>
      </c>
      <c r="D74" s="2">
        <v>9</v>
      </c>
      <c r="E74" s="2" t="s">
        <v>17</v>
      </c>
      <c r="F74" s="2">
        <v>7</v>
      </c>
      <c r="G74" s="2">
        <v>3</v>
      </c>
      <c r="H74" s="2">
        <v>8</v>
      </c>
      <c r="I74" s="2">
        <v>1</v>
      </c>
      <c r="J74" s="18">
        <f t="shared" si="16"/>
        <v>1.7142857142857142</v>
      </c>
      <c r="K74" s="18">
        <f t="shared" si="17"/>
        <v>0.42857142857142855</v>
      </c>
      <c r="L74" s="18">
        <f t="shared" si="18"/>
        <v>1.1428571428571428</v>
      </c>
      <c r="M74" s="18">
        <f t="shared" si="19"/>
        <v>0.14285714285714285</v>
      </c>
      <c r="N74" s="18">
        <f t="shared" si="20"/>
        <v>0.5714285714285714</v>
      </c>
      <c r="O74" s="18">
        <f t="shared" si="21"/>
        <v>4</v>
      </c>
      <c r="P74" s="18">
        <f t="shared" si="22"/>
        <v>0.44444444444444442</v>
      </c>
      <c r="Q74" s="18">
        <f t="shared" si="23"/>
        <v>1.5714285714285714</v>
      </c>
      <c r="R74" s="17" t="s">
        <v>43</v>
      </c>
      <c r="S74" s="19" t="s">
        <v>19</v>
      </c>
      <c r="X74" s="5" t="s">
        <v>55</v>
      </c>
      <c r="Y74"/>
    </row>
    <row r="75" spans="2:25" hidden="1" x14ac:dyDescent="0.25">
      <c r="B75" s="1" t="s">
        <v>255</v>
      </c>
      <c r="C75" s="1" t="s">
        <v>106</v>
      </c>
      <c r="D75" s="2">
        <v>9</v>
      </c>
      <c r="E75" s="2" t="s">
        <v>42</v>
      </c>
      <c r="F75" s="2">
        <v>7</v>
      </c>
      <c r="G75" s="2">
        <v>4</v>
      </c>
      <c r="H75" s="2">
        <v>7</v>
      </c>
      <c r="I75" s="2">
        <v>1</v>
      </c>
      <c r="J75" s="18">
        <f t="shared" si="16"/>
        <v>1.7142857142857142</v>
      </c>
      <c r="K75" s="18">
        <f t="shared" si="17"/>
        <v>0.5714285714285714</v>
      </c>
      <c r="L75" s="18">
        <f t="shared" si="18"/>
        <v>1</v>
      </c>
      <c r="M75" s="18">
        <f t="shared" si="19"/>
        <v>0.14285714285714285</v>
      </c>
      <c r="N75" s="18">
        <f t="shared" si="20"/>
        <v>0.7142857142857143</v>
      </c>
      <c r="O75" s="18">
        <f t="shared" si="21"/>
        <v>5</v>
      </c>
      <c r="P75" s="18">
        <f t="shared" si="22"/>
        <v>0.55555555555555558</v>
      </c>
      <c r="Q75" s="18">
        <f t="shared" si="23"/>
        <v>1.5714285714285714</v>
      </c>
      <c r="U75" s="35" t="s">
        <v>256</v>
      </c>
      <c r="W75" s="4" t="s">
        <v>47</v>
      </c>
      <c r="Y75"/>
    </row>
    <row r="76" spans="2:25" hidden="1" x14ac:dyDescent="0.25">
      <c r="B76" s="1" t="s">
        <v>205</v>
      </c>
      <c r="C76" s="1" t="s">
        <v>106</v>
      </c>
      <c r="D76" s="2">
        <v>9</v>
      </c>
      <c r="E76" s="2" t="s">
        <v>18</v>
      </c>
      <c r="F76" s="2">
        <v>8</v>
      </c>
      <c r="G76" s="2">
        <v>4</v>
      </c>
      <c r="H76" s="2">
        <v>17</v>
      </c>
      <c r="I76" s="2">
        <v>1</v>
      </c>
      <c r="J76" s="18">
        <f t="shared" si="16"/>
        <v>2.75</v>
      </c>
      <c r="K76" s="18">
        <f t="shared" si="17"/>
        <v>0.5</v>
      </c>
      <c r="L76" s="18">
        <f t="shared" si="18"/>
        <v>2.125</v>
      </c>
      <c r="M76" s="18">
        <f t="shared" si="19"/>
        <v>0.125</v>
      </c>
      <c r="N76" s="18">
        <f t="shared" si="20"/>
        <v>0.625</v>
      </c>
      <c r="O76" s="18">
        <f t="shared" si="21"/>
        <v>5</v>
      </c>
      <c r="P76" s="18">
        <f t="shared" si="22"/>
        <v>0.55555555555555558</v>
      </c>
      <c r="Q76" s="18">
        <f t="shared" si="23"/>
        <v>2.625</v>
      </c>
      <c r="R76" s="17" t="s">
        <v>206</v>
      </c>
      <c r="U76" s="35" t="s">
        <v>207</v>
      </c>
      <c r="X76" s="5" t="s">
        <v>208</v>
      </c>
      <c r="Y76"/>
    </row>
    <row r="77" spans="2:25" hidden="1" x14ac:dyDescent="0.25">
      <c r="B77" s="1" t="s">
        <v>282</v>
      </c>
      <c r="C77" s="1" t="s">
        <v>274</v>
      </c>
      <c r="D77" s="2">
        <v>6</v>
      </c>
      <c r="E77" s="2" t="s">
        <v>17</v>
      </c>
      <c r="F77" s="2">
        <v>4</v>
      </c>
      <c r="G77" s="2">
        <v>2</v>
      </c>
      <c r="H77" s="2">
        <v>3</v>
      </c>
      <c r="I77" s="2">
        <v>0</v>
      </c>
      <c r="J77" s="18">
        <f t="shared" si="16"/>
        <v>1.25</v>
      </c>
      <c r="K77" s="18">
        <f t="shared" si="17"/>
        <v>0.5</v>
      </c>
      <c r="L77" s="18">
        <f t="shared" si="18"/>
        <v>0.75</v>
      </c>
      <c r="M77" s="18">
        <f t="shared" si="19"/>
        <v>0</v>
      </c>
      <c r="N77" s="18">
        <f t="shared" si="20"/>
        <v>0.5</v>
      </c>
      <c r="O77" s="18">
        <f t="shared" si="21"/>
        <v>2</v>
      </c>
      <c r="P77" s="18">
        <f t="shared" si="22"/>
        <v>0.33333333333333331</v>
      </c>
      <c r="Q77" s="18">
        <f t="shared" si="23"/>
        <v>1.25</v>
      </c>
      <c r="R77" s="17" t="s">
        <v>283</v>
      </c>
      <c r="T77" s="20" t="s">
        <v>7</v>
      </c>
      <c r="Y77"/>
    </row>
    <row r="78" spans="2:25" hidden="1" x14ac:dyDescent="0.25">
      <c r="B78" s="1" t="s">
        <v>332</v>
      </c>
      <c r="C78" s="1" t="s">
        <v>274</v>
      </c>
      <c r="D78" s="2">
        <v>8</v>
      </c>
      <c r="E78" s="2" t="s">
        <v>18</v>
      </c>
      <c r="F78" s="2">
        <v>8</v>
      </c>
      <c r="G78" s="2">
        <v>4</v>
      </c>
      <c r="H78" s="2">
        <v>11</v>
      </c>
      <c r="I78" s="2">
        <v>1</v>
      </c>
      <c r="J78" s="18">
        <f t="shared" si="16"/>
        <v>2</v>
      </c>
      <c r="K78" s="18">
        <f t="shared" si="17"/>
        <v>0.5</v>
      </c>
      <c r="L78" s="18">
        <f t="shared" si="18"/>
        <v>1.375</v>
      </c>
      <c r="M78" s="18">
        <f t="shared" si="19"/>
        <v>0.125</v>
      </c>
      <c r="N78" s="18">
        <f t="shared" si="20"/>
        <v>0.625</v>
      </c>
      <c r="O78" s="18">
        <f t="shared" si="21"/>
        <v>5</v>
      </c>
      <c r="P78" s="18">
        <f t="shared" si="22"/>
        <v>0.625</v>
      </c>
      <c r="Q78" s="18">
        <f t="shared" si="23"/>
        <v>1.875</v>
      </c>
      <c r="R78" s="17" t="s">
        <v>333</v>
      </c>
      <c r="V78" s="3" t="s">
        <v>334</v>
      </c>
      <c r="W78" s="4" t="s">
        <v>41</v>
      </c>
      <c r="Y78"/>
    </row>
    <row r="79" spans="2:25" hidden="1" x14ac:dyDescent="0.25">
      <c r="B79" s="1" t="s">
        <v>20</v>
      </c>
      <c r="C79" s="1" t="s">
        <v>110</v>
      </c>
      <c r="D79" s="2">
        <v>8</v>
      </c>
      <c r="E79" s="2" t="s">
        <v>18</v>
      </c>
      <c r="F79" s="2">
        <v>8</v>
      </c>
      <c r="G79" s="2">
        <v>3</v>
      </c>
      <c r="H79" s="2">
        <v>12</v>
      </c>
      <c r="I79" s="2">
        <v>1</v>
      </c>
      <c r="J79" s="18">
        <f t="shared" si="16"/>
        <v>2</v>
      </c>
      <c r="K79" s="18">
        <f t="shared" si="17"/>
        <v>0.375</v>
      </c>
      <c r="L79" s="18">
        <f t="shared" si="18"/>
        <v>1.5</v>
      </c>
      <c r="M79" s="18">
        <f t="shared" si="19"/>
        <v>0.125</v>
      </c>
      <c r="N79" s="18">
        <f t="shared" si="20"/>
        <v>0.5</v>
      </c>
      <c r="O79" s="18">
        <f t="shared" si="21"/>
        <v>4</v>
      </c>
      <c r="P79" s="18">
        <f t="shared" si="22"/>
        <v>0.5</v>
      </c>
      <c r="Q79" s="18">
        <f t="shared" si="23"/>
        <v>1.875</v>
      </c>
      <c r="S79" s="19" t="s">
        <v>55</v>
      </c>
      <c r="V79" s="3" t="s">
        <v>25</v>
      </c>
      <c r="Y79"/>
    </row>
    <row r="80" spans="2:25" hidden="1" x14ac:dyDescent="0.25">
      <c r="B80" s="1" t="s">
        <v>307</v>
      </c>
      <c r="C80" s="1" t="s">
        <v>274</v>
      </c>
      <c r="D80" s="2">
        <v>8</v>
      </c>
      <c r="E80" s="2" t="s">
        <v>59</v>
      </c>
      <c r="F80" s="2">
        <v>8</v>
      </c>
      <c r="G80" s="2">
        <v>3</v>
      </c>
      <c r="H80" s="2">
        <v>8</v>
      </c>
      <c r="I80" s="2">
        <v>1</v>
      </c>
      <c r="J80" s="18">
        <f t="shared" si="16"/>
        <v>1.5</v>
      </c>
      <c r="K80" s="18">
        <f t="shared" si="17"/>
        <v>0.375</v>
      </c>
      <c r="L80" s="18">
        <f t="shared" si="18"/>
        <v>1</v>
      </c>
      <c r="M80" s="18">
        <f t="shared" si="19"/>
        <v>0.125</v>
      </c>
      <c r="N80" s="18">
        <f t="shared" si="20"/>
        <v>0.5</v>
      </c>
      <c r="O80" s="18">
        <f t="shared" si="21"/>
        <v>4</v>
      </c>
      <c r="P80" s="18">
        <f t="shared" si="22"/>
        <v>0.5</v>
      </c>
      <c r="Q80" s="18">
        <f t="shared" si="23"/>
        <v>1.375</v>
      </c>
      <c r="T80" s="20" t="s">
        <v>308</v>
      </c>
      <c r="V80" s="3" t="s">
        <v>309</v>
      </c>
      <c r="Y80"/>
    </row>
    <row r="81" spans="2:25" hidden="1" x14ac:dyDescent="0.25">
      <c r="B81" s="1" t="s">
        <v>330</v>
      </c>
      <c r="C81" s="1" t="s">
        <v>274</v>
      </c>
      <c r="D81" s="2">
        <v>8</v>
      </c>
      <c r="E81" s="2" t="s">
        <v>18</v>
      </c>
      <c r="F81" s="2">
        <v>9</v>
      </c>
      <c r="G81" s="2">
        <v>4</v>
      </c>
      <c r="H81" s="2">
        <v>13</v>
      </c>
      <c r="I81" s="2">
        <v>1</v>
      </c>
      <c r="J81" s="18">
        <f t="shared" si="16"/>
        <v>2</v>
      </c>
      <c r="K81" s="18">
        <f t="shared" si="17"/>
        <v>0.44444444444444442</v>
      </c>
      <c r="L81" s="18">
        <f t="shared" si="18"/>
        <v>1.4444444444444444</v>
      </c>
      <c r="M81" s="18">
        <f t="shared" si="19"/>
        <v>0.1111111111111111</v>
      </c>
      <c r="N81" s="18">
        <f t="shared" si="20"/>
        <v>0.55555555555555558</v>
      </c>
      <c r="O81" s="18">
        <f t="shared" si="21"/>
        <v>5</v>
      </c>
      <c r="P81" s="18">
        <f t="shared" si="22"/>
        <v>0.625</v>
      </c>
      <c r="Q81" s="18">
        <f t="shared" si="23"/>
        <v>1.8888888888888888</v>
      </c>
      <c r="R81" s="17" t="s">
        <v>331</v>
      </c>
      <c r="W81" s="4" t="s">
        <v>41</v>
      </c>
      <c r="X81" s="5" t="s">
        <v>43</v>
      </c>
      <c r="Y81"/>
    </row>
    <row r="82" spans="2:25" hidden="1" x14ac:dyDescent="0.25">
      <c r="B82" s="1" t="s">
        <v>335</v>
      </c>
      <c r="C82" s="1" t="s">
        <v>274</v>
      </c>
      <c r="D82" s="2">
        <v>5</v>
      </c>
      <c r="E82" s="2" t="s">
        <v>17</v>
      </c>
      <c r="F82" s="2">
        <v>3</v>
      </c>
      <c r="G82" s="2">
        <v>2</v>
      </c>
      <c r="H82" s="2">
        <v>7</v>
      </c>
      <c r="I82" s="2">
        <v>1</v>
      </c>
      <c r="J82" s="18">
        <f t="shared" si="16"/>
        <v>3.3333333333333335</v>
      </c>
      <c r="K82" s="18">
        <f t="shared" si="17"/>
        <v>0.66666666666666663</v>
      </c>
      <c r="L82" s="18">
        <f t="shared" si="18"/>
        <v>2.3333333333333335</v>
      </c>
      <c r="M82" s="18">
        <f t="shared" si="19"/>
        <v>0.33333333333333331</v>
      </c>
      <c r="N82" s="18">
        <f t="shared" si="20"/>
        <v>1</v>
      </c>
      <c r="O82" s="18">
        <f t="shared" si="21"/>
        <v>3</v>
      </c>
      <c r="P82" s="18">
        <f t="shared" si="22"/>
        <v>0.6</v>
      </c>
      <c r="Q82" s="18">
        <f t="shared" si="23"/>
        <v>3</v>
      </c>
      <c r="V82" s="3" t="s">
        <v>75</v>
      </c>
      <c r="W82" s="4" t="s">
        <v>7</v>
      </c>
      <c r="X82" s="5" t="s">
        <v>41</v>
      </c>
      <c r="Y82"/>
    </row>
    <row r="83" spans="2:25" hidden="1" x14ac:dyDescent="0.25">
      <c r="B83" s="1" t="s">
        <v>288</v>
      </c>
      <c r="C83" s="1" t="s">
        <v>274</v>
      </c>
      <c r="D83" s="2">
        <v>10</v>
      </c>
      <c r="E83" s="2" t="s">
        <v>17</v>
      </c>
      <c r="F83" s="2">
        <v>9</v>
      </c>
      <c r="G83" s="2">
        <v>3</v>
      </c>
      <c r="H83" s="2">
        <v>11</v>
      </c>
      <c r="I83" s="2">
        <v>1</v>
      </c>
      <c r="J83" s="18">
        <f t="shared" si="16"/>
        <v>1.6666666666666667</v>
      </c>
      <c r="K83" s="18">
        <f t="shared" si="17"/>
        <v>0.33333333333333331</v>
      </c>
      <c r="L83" s="18">
        <f t="shared" si="18"/>
        <v>1.2222222222222223</v>
      </c>
      <c r="M83" s="18">
        <f t="shared" si="19"/>
        <v>0.1111111111111111</v>
      </c>
      <c r="N83" s="18">
        <f t="shared" si="20"/>
        <v>0.44444444444444442</v>
      </c>
      <c r="O83" s="18">
        <f t="shared" si="21"/>
        <v>4</v>
      </c>
      <c r="P83" s="18">
        <f t="shared" si="22"/>
        <v>0.4</v>
      </c>
      <c r="Q83" s="18">
        <f t="shared" si="23"/>
        <v>1.5555555555555556</v>
      </c>
      <c r="R83" s="17" t="s">
        <v>43</v>
      </c>
      <c r="T83" s="20" t="s">
        <v>503</v>
      </c>
      <c r="V83" s="3" t="s">
        <v>290</v>
      </c>
      <c r="Y83"/>
    </row>
    <row r="84" spans="2:25" hidden="1" x14ac:dyDescent="0.25">
      <c r="B84" s="1" t="s">
        <v>312</v>
      </c>
      <c r="C84" s="1" t="s">
        <v>274</v>
      </c>
      <c r="D84" s="2">
        <v>10</v>
      </c>
      <c r="E84" s="2" t="s">
        <v>59</v>
      </c>
      <c r="F84" s="2">
        <v>10</v>
      </c>
      <c r="G84" s="2">
        <v>4</v>
      </c>
      <c r="H84" s="2">
        <v>13</v>
      </c>
      <c r="I84" s="2">
        <v>1</v>
      </c>
      <c r="J84" s="18">
        <f t="shared" si="16"/>
        <v>1.8</v>
      </c>
      <c r="K84" s="18">
        <f t="shared" si="17"/>
        <v>0.4</v>
      </c>
      <c r="L84" s="18">
        <f t="shared" si="18"/>
        <v>1.3</v>
      </c>
      <c r="M84" s="18">
        <f t="shared" si="19"/>
        <v>0.1</v>
      </c>
      <c r="N84" s="18">
        <f t="shared" si="20"/>
        <v>0.5</v>
      </c>
      <c r="O84" s="18">
        <f t="shared" si="21"/>
        <v>5</v>
      </c>
      <c r="P84" s="18">
        <f t="shared" si="22"/>
        <v>0.5</v>
      </c>
      <c r="Q84" s="18">
        <f t="shared" si="23"/>
        <v>1.7000000000000002</v>
      </c>
      <c r="R84" s="17" t="s">
        <v>313</v>
      </c>
      <c r="T84" s="20" t="s">
        <v>314</v>
      </c>
      <c r="W84" s="4" t="s">
        <v>315</v>
      </c>
      <c r="Y84"/>
    </row>
    <row r="85" spans="2:25" hidden="1" x14ac:dyDescent="0.25">
      <c r="B85" s="1" t="s">
        <v>228</v>
      </c>
      <c r="C85" s="1" t="s">
        <v>106</v>
      </c>
      <c r="D85" s="2">
        <v>5</v>
      </c>
      <c r="E85" s="2" t="s">
        <v>59</v>
      </c>
      <c r="F85" s="2">
        <v>4</v>
      </c>
      <c r="G85" s="2">
        <v>3</v>
      </c>
      <c r="H85" s="2">
        <v>5</v>
      </c>
      <c r="I85" s="2">
        <v>1</v>
      </c>
      <c r="J85" s="18">
        <f t="shared" si="16"/>
        <v>2.25</v>
      </c>
      <c r="K85" s="18">
        <f t="shared" si="17"/>
        <v>0.75</v>
      </c>
      <c r="L85" s="18">
        <f t="shared" si="18"/>
        <v>1.25</v>
      </c>
      <c r="M85" s="18">
        <f t="shared" si="19"/>
        <v>0.25</v>
      </c>
      <c r="N85" s="18">
        <f t="shared" si="20"/>
        <v>1</v>
      </c>
      <c r="O85" s="18">
        <f t="shared" si="21"/>
        <v>4</v>
      </c>
      <c r="P85" s="18">
        <f t="shared" si="22"/>
        <v>0.8</v>
      </c>
      <c r="Q85" s="18">
        <f t="shared" si="23"/>
        <v>2</v>
      </c>
      <c r="R85" s="17" t="s">
        <v>13</v>
      </c>
      <c r="U85" s="35" t="s">
        <v>7</v>
      </c>
      <c r="Y85"/>
    </row>
    <row r="86" spans="2:25" hidden="1" x14ac:dyDescent="0.25">
      <c r="B86" s="1" t="s">
        <v>199</v>
      </c>
      <c r="C86" s="1" t="s">
        <v>106</v>
      </c>
      <c r="D86" s="2">
        <v>5</v>
      </c>
      <c r="E86" s="2" t="s">
        <v>17</v>
      </c>
      <c r="F86" s="2">
        <v>2</v>
      </c>
      <c r="G86" s="2">
        <v>3</v>
      </c>
      <c r="H86" s="2">
        <v>6</v>
      </c>
      <c r="I86" s="2">
        <v>-1</v>
      </c>
      <c r="J86" s="18">
        <f t="shared" si="16"/>
        <v>4</v>
      </c>
      <c r="K86" s="18">
        <f t="shared" si="17"/>
        <v>1.5</v>
      </c>
      <c r="L86" s="18">
        <f t="shared" si="18"/>
        <v>3</v>
      </c>
      <c r="M86" s="18">
        <f t="shared" si="19"/>
        <v>-0.5</v>
      </c>
      <c r="N86" s="18">
        <f t="shared" si="20"/>
        <v>1</v>
      </c>
      <c r="O86" s="18">
        <f t="shared" si="21"/>
        <v>2</v>
      </c>
      <c r="P86" s="18">
        <f t="shared" si="22"/>
        <v>0.4</v>
      </c>
      <c r="Q86" s="18">
        <f t="shared" si="23"/>
        <v>4.5</v>
      </c>
      <c r="R86" s="17" t="s">
        <v>7</v>
      </c>
      <c r="U86" s="35" t="s">
        <v>200</v>
      </c>
      <c r="Y86"/>
    </row>
    <row r="87" spans="2:25" hidden="1" x14ac:dyDescent="0.25">
      <c r="B87" s="1" t="s">
        <v>27</v>
      </c>
      <c r="C87" s="1" t="s">
        <v>110</v>
      </c>
      <c r="D87" s="2">
        <v>10</v>
      </c>
      <c r="E87" s="2" t="s">
        <v>18</v>
      </c>
      <c r="F87" s="2">
        <v>12</v>
      </c>
      <c r="G87" s="2">
        <v>4</v>
      </c>
      <c r="H87" s="2">
        <v>19</v>
      </c>
      <c r="I87" s="2">
        <v>0</v>
      </c>
      <c r="J87" s="18">
        <f t="shared" si="16"/>
        <v>1.9166666666666667</v>
      </c>
      <c r="K87" s="18">
        <f t="shared" si="17"/>
        <v>0.33333333333333331</v>
      </c>
      <c r="L87" s="18">
        <f t="shared" si="18"/>
        <v>1.5833333333333333</v>
      </c>
      <c r="M87" s="18">
        <f t="shared" si="19"/>
        <v>0</v>
      </c>
      <c r="N87" s="18">
        <f t="shared" si="20"/>
        <v>0.33333333333333331</v>
      </c>
      <c r="O87" s="18">
        <f t="shared" si="21"/>
        <v>4</v>
      </c>
      <c r="P87" s="18">
        <f t="shared" si="22"/>
        <v>0.4</v>
      </c>
      <c r="Q87" s="18">
        <f t="shared" si="23"/>
        <v>1.9166666666666665</v>
      </c>
      <c r="R87" s="17" t="s">
        <v>87</v>
      </c>
      <c r="S87" s="19" t="s">
        <v>53</v>
      </c>
      <c r="W87" s="4" t="s">
        <v>40</v>
      </c>
      <c r="Y87"/>
    </row>
    <row r="88" spans="2:25" hidden="1" x14ac:dyDescent="0.25">
      <c r="B88" s="1" t="s">
        <v>238</v>
      </c>
      <c r="C88" s="1" t="s">
        <v>106</v>
      </c>
      <c r="D88" s="2">
        <v>10</v>
      </c>
      <c r="E88" s="2" t="s">
        <v>59</v>
      </c>
      <c r="F88" s="2">
        <v>10</v>
      </c>
      <c r="G88" s="2">
        <v>6</v>
      </c>
      <c r="H88" s="2">
        <v>15</v>
      </c>
      <c r="I88" s="2">
        <v>0</v>
      </c>
      <c r="J88" s="18">
        <f t="shared" si="16"/>
        <v>2.1</v>
      </c>
      <c r="K88" s="18">
        <f t="shared" si="17"/>
        <v>0.6</v>
      </c>
      <c r="L88" s="18">
        <f t="shared" si="18"/>
        <v>1.5</v>
      </c>
      <c r="M88" s="18">
        <f t="shared" si="19"/>
        <v>0</v>
      </c>
      <c r="N88" s="18">
        <f t="shared" si="20"/>
        <v>0.6</v>
      </c>
      <c r="O88" s="18">
        <f t="shared" si="21"/>
        <v>6</v>
      </c>
      <c r="P88" s="18">
        <f t="shared" si="22"/>
        <v>0.6</v>
      </c>
      <c r="Q88" s="18">
        <f t="shared" si="23"/>
        <v>2.1</v>
      </c>
      <c r="R88" s="17" t="s">
        <v>239</v>
      </c>
      <c r="U88" s="35" t="s">
        <v>240</v>
      </c>
      <c r="X88" s="5" t="s">
        <v>241</v>
      </c>
      <c r="Y88"/>
    </row>
    <row r="89" spans="2:25" hidden="1" x14ac:dyDescent="0.25">
      <c r="B89" s="1" t="s">
        <v>26</v>
      </c>
      <c r="C89" s="1" t="s">
        <v>110</v>
      </c>
      <c r="D89" s="2">
        <v>9</v>
      </c>
      <c r="E89" s="2" t="s">
        <v>18</v>
      </c>
      <c r="F89" s="2">
        <v>9</v>
      </c>
      <c r="G89" s="2">
        <v>3</v>
      </c>
      <c r="H89" s="2">
        <v>16</v>
      </c>
      <c r="I89" s="2">
        <v>0</v>
      </c>
      <c r="J89" s="18">
        <f t="shared" si="16"/>
        <v>2.1111111111111112</v>
      </c>
      <c r="K89" s="18">
        <f t="shared" si="17"/>
        <v>0.33333333333333331</v>
      </c>
      <c r="L89" s="18">
        <f t="shared" si="18"/>
        <v>1.7777777777777777</v>
      </c>
      <c r="M89" s="18">
        <f t="shared" si="19"/>
        <v>0</v>
      </c>
      <c r="N89" s="18">
        <f t="shared" si="20"/>
        <v>0.33333333333333331</v>
      </c>
      <c r="O89" s="18">
        <f t="shared" si="21"/>
        <v>3</v>
      </c>
      <c r="P89" s="18">
        <f t="shared" si="22"/>
        <v>0.33333333333333331</v>
      </c>
      <c r="Q89" s="18">
        <f t="shared" si="23"/>
        <v>2.1111111111111112</v>
      </c>
      <c r="S89" s="19" t="s">
        <v>89</v>
      </c>
      <c r="X89" s="5" t="s">
        <v>504</v>
      </c>
      <c r="Y89"/>
    </row>
    <row r="90" spans="2:25" x14ac:dyDescent="0.25">
      <c r="B90" s="1" t="s">
        <v>209</v>
      </c>
      <c r="C90" s="1" t="s">
        <v>106</v>
      </c>
      <c r="D90" s="2">
        <v>10</v>
      </c>
      <c r="E90" s="2" t="s">
        <v>18</v>
      </c>
      <c r="F90" s="2">
        <v>8</v>
      </c>
      <c r="G90" s="2">
        <v>2</v>
      </c>
      <c r="H90" s="2">
        <v>19</v>
      </c>
      <c r="I90" s="2">
        <v>0</v>
      </c>
      <c r="J90" s="18">
        <f t="shared" si="16"/>
        <v>2.625</v>
      </c>
      <c r="K90" s="18">
        <f t="shared" si="17"/>
        <v>0.25</v>
      </c>
      <c r="L90" s="18">
        <f t="shared" si="18"/>
        <v>2.375</v>
      </c>
      <c r="M90" s="18">
        <f t="shared" si="19"/>
        <v>0</v>
      </c>
      <c r="N90" s="18">
        <f t="shared" si="20"/>
        <v>0.25</v>
      </c>
      <c r="O90" s="18">
        <f t="shared" si="21"/>
        <v>2</v>
      </c>
      <c r="P90" s="18">
        <f t="shared" si="22"/>
        <v>0.2</v>
      </c>
      <c r="Q90" s="18">
        <f t="shared" si="23"/>
        <v>2.625</v>
      </c>
      <c r="R90" s="17" t="s">
        <v>289</v>
      </c>
      <c r="U90" s="35" t="s">
        <v>210</v>
      </c>
      <c r="V90" s="3" t="s">
        <v>134</v>
      </c>
      <c r="Y90"/>
    </row>
    <row r="91" spans="2:25" hidden="1" x14ac:dyDescent="0.25">
      <c r="B91" s="1" t="s">
        <v>113</v>
      </c>
      <c r="C91" s="1" t="s">
        <v>110</v>
      </c>
      <c r="D91" s="2">
        <v>8</v>
      </c>
      <c r="E91" s="2" t="s">
        <v>18</v>
      </c>
      <c r="F91" s="2">
        <v>8</v>
      </c>
      <c r="G91" s="2">
        <v>4</v>
      </c>
      <c r="H91" s="2">
        <v>14</v>
      </c>
      <c r="I91" s="2">
        <v>0</v>
      </c>
      <c r="J91" s="18">
        <f t="shared" si="16"/>
        <v>2.25</v>
      </c>
      <c r="K91" s="18">
        <f t="shared" si="17"/>
        <v>0.5</v>
      </c>
      <c r="L91" s="18">
        <f t="shared" si="18"/>
        <v>1.75</v>
      </c>
      <c r="M91" s="18">
        <f t="shared" si="19"/>
        <v>0</v>
      </c>
      <c r="N91" s="18">
        <f t="shared" si="20"/>
        <v>0.5</v>
      </c>
      <c r="O91" s="18">
        <f t="shared" si="21"/>
        <v>4</v>
      </c>
      <c r="P91" s="18">
        <f t="shared" si="22"/>
        <v>0.5</v>
      </c>
      <c r="Q91" s="18">
        <f t="shared" si="23"/>
        <v>2.25</v>
      </c>
      <c r="V91" s="3" t="s">
        <v>117</v>
      </c>
      <c r="W91" s="4" t="s">
        <v>115</v>
      </c>
      <c r="X91" s="5" t="s">
        <v>116</v>
      </c>
      <c r="Y91"/>
    </row>
    <row r="92" spans="2:25" hidden="1" x14ac:dyDescent="0.25">
      <c r="B92" s="1" t="s">
        <v>257</v>
      </c>
      <c r="C92" s="1" t="s">
        <v>106</v>
      </c>
      <c r="D92" s="2">
        <v>10</v>
      </c>
      <c r="E92" s="2" t="s">
        <v>42</v>
      </c>
      <c r="F92" s="2">
        <v>8</v>
      </c>
      <c r="G92" s="2">
        <v>4</v>
      </c>
      <c r="H92" s="2">
        <v>8</v>
      </c>
      <c r="I92" s="2">
        <v>0</v>
      </c>
      <c r="J92" s="18">
        <f t="shared" si="16"/>
        <v>1.5</v>
      </c>
      <c r="K92" s="18">
        <f t="shared" si="17"/>
        <v>0.5</v>
      </c>
      <c r="L92" s="18">
        <f t="shared" si="18"/>
        <v>1</v>
      </c>
      <c r="M92" s="18">
        <f t="shared" si="19"/>
        <v>0</v>
      </c>
      <c r="N92" s="18">
        <f t="shared" si="20"/>
        <v>0.5</v>
      </c>
      <c r="O92" s="18">
        <f t="shared" si="21"/>
        <v>4</v>
      </c>
      <c r="P92" s="18">
        <f t="shared" si="22"/>
        <v>0.4</v>
      </c>
      <c r="Q92" s="18">
        <f t="shared" si="23"/>
        <v>1.5</v>
      </c>
      <c r="R92" s="17" t="s">
        <v>47</v>
      </c>
      <c r="U92" s="35" t="s">
        <v>258</v>
      </c>
      <c r="X92" s="5" t="s">
        <v>259</v>
      </c>
      <c r="Y92"/>
    </row>
    <row r="93" spans="2:25" hidden="1" x14ac:dyDescent="0.25">
      <c r="B93" s="1" t="s">
        <v>301</v>
      </c>
      <c r="C93" s="1" t="s">
        <v>274</v>
      </c>
      <c r="D93" s="2">
        <v>4</v>
      </c>
      <c r="E93" s="2" t="s">
        <v>59</v>
      </c>
      <c r="F93" s="2">
        <v>4</v>
      </c>
      <c r="G93" s="2">
        <v>2</v>
      </c>
      <c r="H93" s="2">
        <v>5</v>
      </c>
      <c r="I93" s="2">
        <v>2</v>
      </c>
      <c r="J93" s="18">
        <f t="shared" si="16"/>
        <v>2.25</v>
      </c>
      <c r="K93" s="18">
        <f t="shared" si="17"/>
        <v>0.5</v>
      </c>
      <c r="L93" s="18">
        <f t="shared" si="18"/>
        <v>1.25</v>
      </c>
      <c r="M93" s="18">
        <f t="shared" si="19"/>
        <v>0.5</v>
      </c>
      <c r="N93" s="18">
        <f t="shared" si="20"/>
        <v>1</v>
      </c>
      <c r="O93" s="18">
        <f t="shared" si="21"/>
        <v>4</v>
      </c>
      <c r="P93" s="18">
        <f t="shared" si="22"/>
        <v>1</v>
      </c>
      <c r="Q93" s="18">
        <f t="shared" si="23"/>
        <v>1.75</v>
      </c>
      <c r="T93" s="20" t="s">
        <v>7</v>
      </c>
      <c r="Y93"/>
    </row>
    <row r="94" spans="2:25" hidden="1" x14ac:dyDescent="0.25">
      <c r="B94" s="1" t="s">
        <v>203</v>
      </c>
      <c r="C94" s="1" t="s">
        <v>106</v>
      </c>
      <c r="D94" s="2">
        <v>8</v>
      </c>
      <c r="E94" s="2" t="s">
        <v>18</v>
      </c>
      <c r="F94" s="2">
        <v>7</v>
      </c>
      <c r="G94" s="2">
        <v>4</v>
      </c>
      <c r="H94" s="2">
        <v>12</v>
      </c>
      <c r="I94" s="2">
        <v>0</v>
      </c>
      <c r="J94" s="18">
        <f t="shared" si="16"/>
        <v>2.2857142857142856</v>
      </c>
      <c r="K94" s="18">
        <f t="shared" si="17"/>
        <v>0.5714285714285714</v>
      </c>
      <c r="L94" s="18">
        <f t="shared" si="18"/>
        <v>1.7142857142857142</v>
      </c>
      <c r="M94" s="18">
        <f t="shared" si="19"/>
        <v>0</v>
      </c>
      <c r="N94" s="18">
        <f t="shared" si="20"/>
        <v>0.5714285714285714</v>
      </c>
      <c r="O94" s="18">
        <f t="shared" si="21"/>
        <v>4</v>
      </c>
      <c r="P94" s="18">
        <f t="shared" si="22"/>
        <v>0.5</v>
      </c>
      <c r="Q94" s="18">
        <f t="shared" si="23"/>
        <v>2.2857142857142856</v>
      </c>
      <c r="U94" s="35" t="s">
        <v>204</v>
      </c>
      <c r="W94" s="4" t="s">
        <v>47</v>
      </c>
      <c r="Y94"/>
    </row>
    <row r="95" spans="2:25" hidden="1" x14ac:dyDescent="0.25">
      <c r="B95" s="1">
        <v>704</v>
      </c>
      <c r="C95" s="1" t="s">
        <v>110</v>
      </c>
      <c r="D95" s="2">
        <v>9</v>
      </c>
      <c r="E95" s="1" t="s">
        <v>59</v>
      </c>
      <c r="F95" s="2">
        <v>7</v>
      </c>
      <c r="G95" s="2">
        <v>3</v>
      </c>
      <c r="H95" s="2">
        <v>10</v>
      </c>
      <c r="I95" s="2">
        <v>0</v>
      </c>
      <c r="J95" s="18">
        <f t="shared" si="16"/>
        <v>1.8571428571428572</v>
      </c>
      <c r="K95" s="18">
        <f t="shared" si="17"/>
        <v>0.42857142857142855</v>
      </c>
      <c r="L95" s="18">
        <f t="shared" si="18"/>
        <v>1.4285714285714286</v>
      </c>
      <c r="M95" s="18">
        <f t="shared" si="19"/>
        <v>0</v>
      </c>
      <c r="N95" s="18">
        <f t="shared" si="20"/>
        <v>0.42857142857142855</v>
      </c>
      <c r="O95" s="18">
        <f t="shared" si="21"/>
        <v>3</v>
      </c>
      <c r="P95" s="18">
        <f t="shared" si="22"/>
        <v>0.33333333333333331</v>
      </c>
      <c r="Q95" s="18">
        <f t="shared" si="23"/>
        <v>1.8571428571428572</v>
      </c>
      <c r="R95" s="17" t="s">
        <v>47</v>
      </c>
      <c r="S95" s="19" t="s">
        <v>57</v>
      </c>
      <c r="W95" s="4" t="s">
        <v>19</v>
      </c>
      <c r="Y95"/>
    </row>
    <row r="96" spans="2:25" x14ac:dyDescent="0.25">
      <c r="B96" s="1">
        <v>212</v>
      </c>
      <c r="C96" s="1" t="s">
        <v>110</v>
      </c>
      <c r="D96" s="2">
        <v>9</v>
      </c>
      <c r="E96" s="2" t="s">
        <v>42</v>
      </c>
      <c r="F96" s="2">
        <v>7</v>
      </c>
      <c r="G96" s="2">
        <v>3</v>
      </c>
      <c r="H96" s="2">
        <v>7</v>
      </c>
      <c r="I96" s="2">
        <v>0</v>
      </c>
      <c r="J96" s="18">
        <f t="shared" si="16"/>
        <v>1.4285714285714286</v>
      </c>
      <c r="K96" s="18">
        <f t="shared" si="17"/>
        <v>0.42857142857142855</v>
      </c>
      <c r="L96" s="18">
        <f t="shared" si="18"/>
        <v>1</v>
      </c>
      <c r="M96" s="18">
        <f t="shared" si="19"/>
        <v>0</v>
      </c>
      <c r="N96" s="18">
        <f t="shared" si="20"/>
        <v>0.42857142857142855</v>
      </c>
      <c r="O96" s="18">
        <f t="shared" si="21"/>
        <v>3</v>
      </c>
      <c r="P96" s="18">
        <f t="shared" si="22"/>
        <v>0.33333333333333331</v>
      </c>
      <c r="Q96" s="18">
        <f t="shared" si="23"/>
        <v>1.4285714285714286</v>
      </c>
      <c r="R96" s="17" t="s">
        <v>107</v>
      </c>
      <c r="S96" s="19" t="s">
        <v>44</v>
      </c>
      <c r="V96" s="3" t="s">
        <v>555</v>
      </c>
      <c r="Y96"/>
    </row>
    <row r="97" spans="2:25" hidden="1" x14ac:dyDescent="0.25">
      <c r="B97" s="1" t="s">
        <v>38</v>
      </c>
      <c r="C97" s="1" t="s">
        <v>110</v>
      </c>
      <c r="D97" s="2">
        <v>8</v>
      </c>
      <c r="E97" s="2" t="s">
        <v>42</v>
      </c>
      <c r="F97" s="2">
        <v>7</v>
      </c>
      <c r="G97" s="2">
        <v>2</v>
      </c>
      <c r="H97" s="2">
        <v>8</v>
      </c>
      <c r="I97" s="2">
        <v>0</v>
      </c>
      <c r="J97" s="18">
        <f t="shared" si="16"/>
        <v>1.4285714285714286</v>
      </c>
      <c r="K97" s="18">
        <f t="shared" si="17"/>
        <v>0.2857142857142857</v>
      </c>
      <c r="L97" s="18">
        <f t="shared" si="18"/>
        <v>1.1428571428571428</v>
      </c>
      <c r="M97" s="18">
        <f t="shared" si="19"/>
        <v>0</v>
      </c>
      <c r="N97" s="18">
        <f t="shared" si="20"/>
        <v>0.2857142857142857</v>
      </c>
      <c r="O97" s="18">
        <f t="shared" si="21"/>
        <v>2</v>
      </c>
      <c r="P97" s="18">
        <f t="shared" si="22"/>
        <v>0.25</v>
      </c>
      <c r="Q97" s="18">
        <f t="shared" si="23"/>
        <v>1.4285714285714284</v>
      </c>
      <c r="S97" s="19" t="s">
        <v>75</v>
      </c>
      <c r="X97" s="5" t="s">
        <v>250</v>
      </c>
      <c r="Y97"/>
    </row>
    <row r="98" spans="2:25" hidden="1" x14ac:dyDescent="0.25">
      <c r="B98" s="1">
        <v>261</v>
      </c>
      <c r="C98" s="1" t="s">
        <v>110</v>
      </c>
      <c r="D98" s="2">
        <v>10</v>
      </c>
      <c r="E98" s="2" t="s">
        <v>42</v>
      </c>
      <c r="F98" s="2">
        <v>6</v>
      </c>
      <c r="G98" s="2">
        <v>3</v>
      </c>
      <c r="H98" s="2">
        <v>8</v>
      </c>
      <c r="I98" s="2">
        <v>0</v>
      </c>
      <c r="J98" s="18">
        <f t="shared" si="16"/>
        <v>1.8333333333333333</v>
      </c>
      <c r="K98" s="18">
        <f t="shared" si="17"/>
        <v>0.5</v>
      </c>
      <c r="L98" s="18">
        <f t="shared" si="18"/>
        <v>1.3333333333333333</v>
      </c>
      <c r="M98" s="18">
        <f t="shared" si="19"/>
        <v>0</v>
      </c>
      <c r="N98" s="18">
        <f t="shared" si="20"/>
        <v>0.5</v>
      </c>
      <c r="O98" s="18">
        <f t="shared" si="21"/>
        <v>3</v>
      </c>
      <c r="P98" s="18">
        <f t="shared" si="22"/>
        <v>0.3</v>
      </c>
      <c r="Q98" s="18">
        <f t="shared" si="23"/>
        <v>1.8333333333333333</v>
      </c>
      <c r="S98" s="19" t="s">
        <v>112</v>
      </c>
      <c r="W98" s="4" t="s">
        <v>519</v>
      </c>
      <c r="Y98"/>
    </row>
    <row r="99" spans="2:25" hidden="1" x14ac:dyDescent="0.25">
      <c r="B99" s="1" t="s">
        <v>37</v>
      </c>
      <c r="C99" s="1" t="s">
        <v>110</v>
      </c>
      <c r="D99" s="2">
        <v>7</v>
      </c>
      <c r="E99" s="2" t="s">
        <v>42</v>
      </c>
      <c r="F99" s="2">
        <v>6</v>
      </c>
      <c r="G99" s="2">
        <v>3</v>
      </c>
      <c r="H99" s="2">
        <v>6</v>
      </c>
      <c r="I99" s="2">
        <v>0</v>
      </c>
      <c r="J99" s="18">
        <f t="shared" si="16"/>
        <v>1.5</v>
      </c>
      <c r="K99" s="18">
        <f t="shared" si="17"/>
        <v>0.5</v>
      </c>
      <c r="L99" s="18">
        <f t="shared" si="18"/>
        <v>1</v>
      </c>
      <c r="M99" s="18">
        <f t="shared" si="19"/>
        <v>0</v>
      </c>
      <c r="N99" s="18">
        <f t="shared" si="20"/>
        <v>0.5</v>
      </c>
      <c r="O99" s="18">
        <f t="shared" si="21"/>
        <v>3</v>
      </c>
      <c r="P99" s="18">
        <f t="shared" si="22"/>
        <v>0.42857142857142855</v>
      </c>
      <c r="Q99" s="18">
        <f t="shared" si="23"/>
        <v>1.5</v>
      </c>
      <c r="R99" s="17" t="s">
        <v>104</v>
      </c>
      <c r="S99" s="19" t="s">
        <v>47</v>
      </c>
      <c r="Y99"/>
    </row>
    <row r="100" spans="2:25" hidden="1" x14ac:dyDescent="0.25">
      <c r="B100" s="1" t="s">
        <v>327</v>
      </c>
      <c r="C100" s="1" t="s">
        <v>274</v>
      </c>
      <c r="D100" s="2">
        <v>8</v>
      </c>
      <c r="E100" s="2" t="s">
        <v>18</v>
      </c>
      <c r="F100" s="2">
        <v>5</v>
      </c>
      <c r="G100" s="2">
        <v>3</v>
      </c>
      <c r="H100" s="2">
        <v>7</v>
      </c>
      <c r="I100" s="2">
        <v>0</v>
      </c>
      <c r="J100" s="18">
        <f t="shared" si="16"/>
        <v>2</v>
      </c>
      <c r="K100" s="18">
        <f t="shared" si="17"/>
        <v>0.6</v>
      </c>
      <c r="L100" s="18">
        <f t="shared" si="18"/>
        <v>1.4</v>
      </c>
      <c r="M100" s="18">
        <f t="shared" si="19"/>
        <v>0</v>
      </c>
      <c r="N100" s="18">
        <f t="shared" si="20"/>
        <v>0.6</v>
      </c>
      <c r="O100" s="18">
        <f t="shared" si="21"/>
        <v>3</v>
      </c>
      <c r="P100" s="18">
        <f t="shared" si="22"/>
        <v>0.375</v>
      </c>
      <c r="Q100" s="18">
        <f t="shared" si="23"/>
        <v>2</v>
      </c>
      <c r="V100" s="3" t="s">
        <v>328</v>
      </c>
      <c r="X100" s="5" t="s">
        <v>329</v>
      </c>
      <c r="Y100"/>
    </row>
    <row r="101" spans="2:25" hidden="1" x14ac:dyDescent="0.25">
      <c r="B101" s="1" t="s">
        <v>248</v>
      </c>
      <c r="C101" s="1" t="s">
        <v>106</v>
      </c>
      <c r="D101" s="2">
        <v>7</v>
      </c>
      <c r="E101" s="2" t="s">
        <v>42</v>
      </c>
      <c r="F101" s="2">
        <v>5</v>
      </c>
      <c r="G101" s="2">
        <v>2</v>
      </c>
      <c r="H101" s="2">
        <v>6</v>
      </c>
      <c r="I101" s="2">
        <v>0</v>
      </c>
      <c r="J101" s="18">
        <f t="shared" ref="J101:J132" si="24">(G101+H101+I101)/F101</f>
        <v>1.6</v>
      </c>
      <c r="K101" s="18">
        <f t="shared" ref="K101:K120" si="25">G101/F101</f>
        <v>0.4</v>
      </c>
      <c r="L101" s="18">
        <f t="shared" ref="L101:L120" si="26">H101/F101</f>
        <v>1.2</v>
      </c>
      <c r="M101" s="18">
        <f t="shared" ref="M101:M120" si="27">I101/F101</f>
        <v>0</v>
      </c>
      <c r="N101" s="18">
        <f t="shared" ref="N101:N120" si="28">(G101+I101)/F101</f>
        <v>0.4</v>
      </c>
      <c r="O101" s="18">
        <f t="shared" ref="O101:O120" si="29">G101+I101</f>
        <v>2</v>
      </c>
      <c r="P101" s="18">
        <f t="shared" ref="P101:P132" si="30">O101/D101</f>
        <v>0.2857142857142857</v>
      </c>
      <c r="Q101" s="18">
        <f t="shared" ref="Q101:Q120" si="31">K101+L101</f>
        <v>1.6</v>
      </c>
      <c r="U101" s="35" t="s">
        <v>249</v>
      </c>
      <c r="Y101"/>
    </row>
    <row r="102" spans="2:25" x14ac:dyDescent="0.25">
      <c r="B102" s="1" t="s">
        <v>337</v>
      </c>
      <c r="C102" s="1" t="s">
        <v>274</v>
      </c>
      <c r="D102" s="2">
        <v>3</v>
      </c>
      <c r="E102" s="2" t="s">
        <v>16</v>
      </c>
      <c r="F102" s="2">
        <v>5</v>
      </c>
      <c r="G102" s="2">
        <v>1</v>
      </c>
      <c r="H102" s="2">
        <v>3</v>
      </c>
      <c r="I102" s="2">
        <v>0</v>
      </c>
      <c r="J102" s="18">
        <f t="shared" si="24"/>
        <v>0.8</v>
      </c>
      <c r="K102" s="18">
        <f t="shared" si="25"/>
        <v>0.2</v>
      </c>
      <c r="L102" s="18">
        <f t="shared" si="26"/>
        <v>0.6</v>
      </c>
      <c r="M102" s="18">
        <f t="shared" si="27"/>
        <v>0</v>
      </c>
      <c r="N102" s="18">
        <f t="shared" si="28"/>
        <v>0.2</v>
      </c>
      <c r="O102" s="18">
        <f t="shared" si="29"/>
        <v>1</v>
      </c>
      <c r="P102" s="18">
        <f t="shared" si="30"/>
        <v>0.33333333333333331</v>
      </c>
      <c r="Q102" s="18">
        <f t="shared" si="31"/>
        <v>0.8</v>
      </c>
      <c r="T102" s="20" t="s">
        <v>338</v>
      </c>
      <c r="Y102"/>
    </row>
    <row r="103" spans="2:25" hidden="1" x14ac:dyDescent="0.25">
      <c r="B103" s="1" t="s">
        <v>245</v>
      </c>
      <c r="C103" s="1" t="s">
        <v>106</v>
      </c>
      <c r="D103" s="2">
        <v>5</v>
      </c>
      <c r="E103" s="2" t="s">
        <v>42</v>
      </c>
      <c r="F103" s="2">
        <v>4</v>
      </c>
      <c r="G103" s="2">
        <v>2</v>
      </c>
      <c r="H103" s="2">
        <v>4</v>
      </c>
      <c r="I103" s="2">
        <v>0</v>
      </c>
      <c r="J103" s="18">
        <f t="shared" si="24"/>
        <v>1.5</v>
      </c>
      <c r="K103" s="18">
        <f t="shared" si="25"/>
        <v>0.5</v>
      </c>
      <c r="L103" s="18">
        <f t="shared" si="26"/>
        <v>1</v>
      </c>
      <c r="M103" s="18">
        <f t="shared" si="27"/>
        <v>0</v>
      </c>
      <c r="N103" s="18">
        <f t="shared" si="28"/>
        <v>0.5</v>
      </c>
      <c r="O103" s="18">
        <f t="shared" si="29"/>
        <v>2</v>
      </c>
      <c r="P103" s="18">
        <f t="shared" si="30"/>
        <v>0.4</v>
      </c>
      <c r="Q103" s="18">
        <f t="shared" si="31"/>
        <v>1.5</v>
      </c>
      <c r="U103" s="35" t="s">
        <v>47</v>
      </c>
      <c r="Y103"/>
    </row>
    <row r="104" spans="2:25" hidden="1" x14ac:dyDescent="0.25">
      <c r="B104" s="1" t="s">
        <v>29</v>
      </c>
      <c r="C104" s="1" t="s">
        <v>110</v>
      </c>
      <c r="D104" s="2">
        <v>4</v>
      </c>
      <c r="E104" s="1" t="s">
        <v>59</v>
      </c>
      <c r="F104" s="2">
        <v>3</v>
      </c>
      <c r="G104" s="2">
        <v>1</v>
      </c>
      <c r="H104" s="2">
        <v>5</v>
      </c>
      <c r="I104" s="2">
        <v>1</v>
      </c>
      <c r="J104" s="18">
        <f t="shared" si="24"/>
        <v>2.3333333333333335</v>
      </c>
      <c r="K104" s="18">
        <f t="shared" si="25"/>
        <v>0.33333333333333331</v>
      </c>
      <c r="L104" s="18">
        <f t="shared" si="26"/>
        <v>1.6666666666666667</v>
      </c>
      <c r="M104" s="18">
        <f t="shared" si="27"/>
        <v>0.33333333333333331</v>
      </c>
      <c r="N104" s="18">
        <f t="shared" si="28"/>
        <v>0.66666666666666663</v>
      </c>
      <c r="O104" s="18">
        <f t="shared" si="29"/>
        <v>2</v>
      </c>
      <c r="P104" s="18">
        <f t="shared" si="30"/>
        <v>0.5</v>
      </c>
      <c r="Q104" s="18">
        <f t="shared" si="31"/>
        <v>2</v>
      </c>
      <c r="R104" s="17" t="s">
        <v>7</v>
      </c>
      <c r="S104" s="19" t="s">
        <v>56</v>
      </c>
      <c r="Y104"/>
    </row>
    <row r="105" spans="2:25" hidden="1" x14ac:dyDescent="0.25">
      <c r="B105" s="1" t="s">
        <v>350</v>
      </c>
      <c r="C105" s="1" t="s">
        <v>274</v>
      </c>
      <c r="D105" s="2">
        <v>1</v>
      </c>
      <c r="E105" s="2" t="s">
        <v>59</v>
      </c>
      <c r="F105" s="2">
        <v>4</v>
      </c>
      <c r="G105" s="2">
        <v>2</v>
      </c>
      <c r="H105" s="2">
        <v>5</v>
      </c>
      <c r="I105" s="2">
        <v>0</v>
      </c>
      <c r="J105" s="18">
        <f t="shared" si="24"/>
        <v>1.75</v>
      </c>
      <c r="K105" s="18">
        <f t="shared" si="25"/>
        <v>0.5</v>
      </c>
      <c r="L105" s="18">
        <f t="shared" si="26"/>
        <v>1.25</v>
      </c>
      <c r="M105" s="18">
        <f t="shared" si="27"/>
        <v>0</v>
      </c>
      <c r="N105" s="18">
        <f t="shared" si="28"/>
        <v>0.5</v>
      </c>
      <c r="O105" s="18">
        <f t="shared" si="29"/>
        <v>2</v>
      </c>
      <c r="P105" s="18">
        <f t="shared" si="30"/>
        <v>2</v>
      </c>
      <c r="Q105" s="18">
        <f t="shared" si="31"/>
        <v>1.75</v>
      </c>
      <c r="Y105"/>
    </row>
    <row r="106" spans="2:25" hidden="1" x14ac:dyDescent="0.25">
      <c r="B106" s="1" t="s">
        <v>246</v>
      </c>
      <c r="C106" s="1" t="s">
        <v>106</v>
      </c>
      <c r="D106" s="2">
        <v>6</v>
      </c>
      <c r="E106" s="2" t="s">
        <v>42</v>
      </c>
      <c r="F106" s="2">
        <v>4</v>
      </c>
      <c r="G106" s="2">
        <v>2</v>
      </c>
      <c r="H106" s="2">
        <v>5</v>
      </c>
      <c r="I106" s="2">
        <v>0</v>
      </c>
      <c r="J106" s="18">
        <f t="shared" si="24"/>
        <v>1.75</v>
      </c>
      <c r="K106" s="18">
        <f t="shared" si="25"/>
        <v>0.5</v>
      </c>
      <c r="L106" s="18">
        <f t="shared" si="26"/>
        <v>1.25</v>
      </c>
      <c r="M106" s="18">
        <f t="shared" si="27"/>
        <v>0</v>
      </c>
      <c r="N106" s="18">
        <f t="shared" si="28"/>
        <v>0.5</v>
      </c>
      <c r="O106" s="18">
        <f t="shared" si="29"/>
        <v>2</v>
      </c>
      <c r="P106" s="18">
        <f t="shared" si="30"/>
        <v>0.33333333333333331</v>
      </c>
      <c r="Q106" s="18">
        <f t="shared" si="31"/>
        <v>1.75</v>
      </c>
      <c r="U106" s="35" t="s">
        <v>247</v>
      </c>
      <c r="Y106"/>
    </row>
    <row r="107" spans="2:25" hidden="1" x14ac:dyDescent="0.25">
      <c r="B107" s="1" t="s">
        <v>4</v>
      </c>
      <c r="C107" s="1" t="s">
        <v>110</v>
      </c>
      <c r="D107" s="2">
        <v>4</v>
      </c>
      <c r="E107" s="2" t="s">
        <v>16</v>
      </c>
      <c r="F107" s="2">
        <v>4</v>
      </c>
      <c r="G107" s="2">
        <v>2</v>
      </c>
      <c r="H107" s="2">
        <v>5</v>
      </c>
      <c r="I107" s="2">
        <v>1</v>
      </c>
      <c r="J107" s="18">
        <f t="shared" si="24"/>
        <v>2</v>
      </c>
      <c r="K107" s="18">
        <f t="shared" si="25"/>
        <v>0.5</v>
      </c>
      <c r="L107" s="18">
        <f t="shared" si="26"/>
        <v>1.25</v>
      </c>
      <c r="M107" s="18">
        <f t="shared" si="27"/>
        <v>0.25</v>
      </c>
      <c r="N107" s="18">
        <f t="shared" si="28"/>
        <v>0.75</v>
      </c>
      <c r="O107" s="18">
        <f t="shared" si="29"/>
        <v>3</v>
      </c>
      <c r="P107" s="18">
        <f t="shared" si="30"/>
        <v>0.75</v>
      </c>
      <c r="Q107" s="18">
        <f t="shared" si="31"/>
        <v>1.75</v>
      </c>
      <c r="S107" s="19" t="s">
        <v>7</v>
      </c>
      <c r="Y107"/>
    </row>
    <row r="108" spans="2:25" hidden="1" x14ac:dyDescent="0.25">
      <c r="B108" s="1" t="s">
        <v>318</v>
      </c>
      <c r="C108" s="1" t="s">
        <v>274</v>
      </c>
      <c r="D108" s="2">
        <v>5</v>
      </c>
      <c r="E108" s="2" t="s">
        <v>42</v>
      </c>
      <c r="F108" s="2">
        <v>4</v>
      </c>
      <c r="G108" s="2">
        <v>1</v>
      </c>
      <c r="H108" s="2">
        <v>4</v>
      </c>
      <c r="I108" s="2">
        <v>0</v>
      </c>
      <c r="J108" s="18">
        <f t="shared" si="24"/>
        <v>1.25</v>
      </c>
      <c r="K108" s="18">
        <f t="shared" si="25"/>
        <v>0.25</v>
      </c>
      <c r="L108" s="18">
        <f t="shared" si="26"/>
        <v>1</v>
      </c>
      <c r="M108" s="18">
        <f t="shared" si="27"/>
        <v>0</v>
      </c>
      <c r="N108" s="18">
        <f t="shared" si="28"/>
        <v>0.25</v>
      </c>
      <c r="O108" s="18">
        <f t="shared" si="29"/>
        <v>1</v>
      </c>
      <c r="P108" s="18">
        <f t="shared" si="30"/>
        <v>0.2</v>
      </c>
      <c r="Q108" s="18">
        <f t="shared" si="31"/>
        <v>1.25</v>
      </c>
      <c r="T108" s="20" t="s">
        <v>108</v>
      </c>
      <c r="Y108"/>
    </row>
    <row r="109" spans="2:25" hidden="1" x14ac:dyDescent="0.25">
      <c r="B109" s="1" t="s">
        <v>267</v>
      </c>
      <c r="C109" s="1" t="s">
        <v>106</v>
      </c>
      <c r="D109" s="2">
        <v>3</v>
      </c>
      <c r="E109" s="2" t="s">
        <v>16</v>
      </c>
      <c r="F109" s="2">
        <v>4</v>
      </c>
      <c r="G109" s="2">
        <v>3</v>
      </c>
      <c r="H109" s="2">
        <v>4</v>
      </c>
      <c r="I109" s="2">
        <v>0</v>
      </c>
      <c r="J109" s="18">
        <f t="shared" si="24"/>
        <v>1.75</v>
      </c>
      <c r="K109" s="18">
        <f t="shared" si="25"/>
        <v>0.75</v>
      </c>
      <c r="L109" s="18">
        <f t="shared" si="26"/>
        <v>1</v>
      </c>
      <c r="M109" s="18">
        <f t="shared" si="27"/>
        <v>0</v>
      </c>
      <c r="N109" s="18">
        <f t="shared" si="28"/>
        <v>0.75</v>
      </c>
      <c r="O109" s="18">
        <f t="shared" si="29"/>
        <v>3</v>
      </c>
      <c r="P109" s="18">
        <f t="shared" si="30"/>
        <v>1</v>
      </c>
      <c r="Q109" s="18">
        <f t="shared" si="31"/>
        <v>1.75</v>
      </c>
      <c r="U109" s="35" t="s">
        <v>19</v>
      </c>
      <c r="Y109"/>
    </row>
    <row r="110" spans="2:25" hidden="1" x14ac:dyDescent="0.25">
      <c r="B110" s="1" t="s">
        <v>3</v>
      </c>
      <c r="C110" s="1" t="s">
        <v>110</v>
      </c>
      <c r="D110" s="2">
        <v>3</v>
      </c>
      <c r="E110" s="2" t="s">
        <v>16</v>
      </c>
      <c r="F110" s="2">
        <v>3</v>
      </c>
      <c r="G110" s="2">
        <v>2</v>
      </c>
      <c r="H110" s="2">
        <v>4</v>
      </c>
      <c r="I110" s="2">
        <v>0</v>
      </c>
      <c r="J110" s="18">
        <f t="shared" si="24"/>
        <v>2</v>
      </c>
      <c r="K110" s="18">
        <f t="shared" si="25"/>
        <v>0.66666666666666663</v>
      </c>
      <c r="L110" s="18">
        <f t="shared" si="26"/>
        <v>1.3333333333333333</v>
      </c>
      <c r="M110" s="18">
        <f t="shared" si="27"/>
        <v>0</v>
      </c>
      <c r="N110" s="18">
        <f t="shared" si="28"/>
        <v>0.66666666666666663</v>
      </c>
      <c r="O110" s="18">
        <f t="shared" si="29"/>
        <v>2</v>
      </c>
      <c r="P110" s="18">
        <f t="shared" si="30"/>
        <v>0.66666666666666663</v>
      </c>
      <c r="Q110" s="18">
        <f t="shared" si="31"/>
        <v>2</v>
      </c>
      <c r="S110" s="19" t="s">
        <v>19</v>
      </c>
      <c r="Y110"/>
    </row>
    <row r="111" spans="2:25" hidden="1" x14ac:dyDescent="0.25">
      <c r="B111" s="1" t="s">
        <v>1</v>
      </c>
      <c r="C111" s="1" t="s">
        <v>110</v>
      </c>
      <c r="D111" s="2">
        <v>2</v>
      </c>
      <c r="E111" s="2" t="s">
        <v>16</v>
      </c>
      <c r="F111" s="2">
        <v>3</v>
      </c>
      <c r="G111" s="2">
        <v>1</v>
      </c>
      <c r="H111" s="2">
        <v>5</v>
      </c>
      <c r="I111" s="2">
        <v>0</v>
      </c>
      <c r="J111" s="18">
        <f t="shared" si="24"/>
        <v>2</v>
      </c>
      <c r="K111" s="18">
        <f t="shared" si="25"/>
        <v>0.33333333333333331</v>
      </c>
      <c r="L111" s="18">
        <f t="shared" si="26"/>
        <v>1.6666666666666667</v>
      </c>
      <c r="M111" s="18">
        <f t="shared" si="27"/>
        <v>0</v>
      </c>
      <c r="N111" s="18">
        <f t="shared" si="28"/>
        <v>0.33333333333333331</v>
      </c>
      <c r="O111" s="18">
        <f t="shared" si="29"/>
        <v>1</v>
      </c>
      <c r="P111" s="18">
        <f t="shared" si="30"/>
        <v>0.5</v>
      </c>
      <c r="Q111" s="18">
        <f t="shared" si="31"/>
        <v>2</v>
      </c>
      <c r="S111" s="19" t="s">
        <v>58</v>
      </c>
      <c r="Y111"/>
    </row>
    <row r="112" spans="2:25" x14ac:dyDescent="0.25">
      <c r="B112" s="1" t="s">
        <v>299</v>
      </c>
      <c r="C112" s="1" t="s">
        <v>274</v>
      </c>
      <c r="D112" s="2">
        <v>3</v>
      </c>
      <c r="E112" s="2" t="s">
        <v>59</v>
      </c>
      <c r="F112" s="2">
        <v>3</v>
      </c>
      <c r="G112" s="2">
        <v>3</v>
      </c>
      <c r="H112" s="2">
        <v>2</v>
      </c>
      <c r="I112" s="2">
        <v>0</v>
      </c>
      <c r="J112" s="18">
        <f t="shared" si="24"/>
        <v>1.6666666666666667</v>
      </c>
      <c r="K112" s="18">
        <f t="shared" si="25"/>
        <v>1</v>
      </c>
      <c r="L112" s="18">
        <f t="shared" si="26"/>
        <v>0.66666666666666663</v>
      </c>
      <c r="M112" s="18">
        <f t="shared" si="27"/>
        <v>0</v>
      </c>
      <c r="N112" s="18">
        <f t="shared" si="28"/>
        <v>1</v>
      </c>
      <c r="O112" s="18">
        <f t="shared" si="29"/>
        <v>3</v>
      </c>
      <c r="P112" s="18">
        <f t="shared" si="30"/>
        <v>1</v>
      </c>
      <c r="Q112" s="18">
        <f t="shared" si="31"/>
        <v>1.6666666666666665</v>
      </c>
      <c r="T112" s="20" t="s">
        <v>300</v>
      </c>
      <c r="Y112"/>
    </row>
    <row r="113" spans="2:25" hidden="1" x14ac:dyDescent="0.25">
      <c r="B113" s="1" t="s">
        <v>280</v>
      </c>
      <c r="C113" s="1" t="s">
        <v>274</v>
      </c>
      <c r="D113" s="2">
        <v>5</v>
      </c>
      <c r="E113" s="2" t="s">
        <v>17</v>
      </c>
      <c r="F113" s="2">
        <v>3</v>
      </c>
      <c r="G113" s="2">
        <v>1</v>
      </c>
      <c r="H113" s="2">
        <v>4</v>
      </c>
      <c r="I113" s="2">
        <v>0</v>
      </c>
      <c r="J113" s="18">
        <f t="shared" si="24"/>
        <v>1.6666666666666667</v>
      </c>
      <c r="K113" s="18">
        <f t="shared" si="25"/>
        <v>0.33333333333333331</v>
      </c>
      <c r="L113" s="18">
        <f t="shared" si="26"/>
        <v>1.3333333333333333</v>
      </c>
      <c r="M113" s="18">
        <f t="shared" si="27"/>
        <v>0</v>
      </c>
      <c r="N113" s="18">
        <f t="shared" si="28"/>
        <v>0.33333333333333331</v>
      </c>
      <c r="O113" s="18">
        <f t="shared" si="29"/>
        <v>1</v>
      </c>
      <c r="P113" s="18">
        <f t="shared" si="30"/>
        <v>0.2</v>
      </c>
      <c r="Q113" s="18">
        <f t="shared" si="31"/>
        <v>1.6666666666666665</v>
      </c>
      <c r="T113" s="20" t="s">
        <v>281</v>
      </c>
      <c r="Y113"/>
    </row>
    <row r="114" spans="2:25" hidden="1" x14ac:dyDescent="0.25">
      <c r="B114" s="1" t="s">
        <v>242</v>
      </c>
      <c r="C114" s="1" t="s">
        <v>106</v>
      </c>
      <c r="D114" s="2">
        <v>3</v>
      </c>
      <c r="E114" s="2" t="s">
        <v>42</v>
      </c>
      <c r="F114" s="2">
        <v>3</v>
      </c>
      <c r="G114" s="2">
        <v>1</v>
      </c>
      <c r="H114" s="2">
        <v>3</v>
      </c>
      <c r="I114" s="2">
        <v>0</v>
      </c>
      <c r="J114" s="18">
        <f t="shared" si="24"/>
        <v>1.3333333333333333</v>
      </c>
      <c r="K114" s="18">
        <f t="shared" si="25"/>
        <v>0.33333333333333331</v>
      </c>
      <c r="L114" s="18">
        <f t="shared" si="26"/>
        <v>1</v>
      </c>
      <c r="M114" s="18">
        <f t="shared" si="27"/>
        <v>0</v>
      </c>
      <c r="N114" s="18">
        <f t="shared" si="28"/>
        <v>0.33333333333333331</v>
      </c>
      <c r="O114" s="18">
        <f t="shared" si="29"/>
        <v>1</v>
      </c>
      <c r="P114" s="18">
        <f t="shared" si="30"/>
        <v>0.33333333333333331</v>
      </c>
      <c r="Q114" s="18">
        <f t="shared" si="31"/>
        <v>1.3333333333333333</v>
      </c>
      <c r="U114" s="35" t="s">
        <v>75</v>
      </c>
      <c r="Y114"/>
    </row>
    <row r="115" spans="2:25" hidden="1" x14ac:dyDescent="0.25">
      <c r="B115" s="1" t="s">
        <v>194</v>
      </c>
      <c r="C115" s="1" t="s">
        <v>106</v>
      </c>
      <c r="D115" s="2">
        <v>2</v>
      </c>
      <c r="E115" s="2" t="s">
        <v>16</v>
      </c>
      <c r="F115" s="2">
        <v>2</v>
      </c>
      <c r="G115" s="2">
        <v>2</v>
      </c>
      <c r="H115" s="2">
        <v>4</v>
      </c>
      <c r="I115" s="2">
        <v>0</v>
      </c>
      <c r="J115" s="18">
        <f t="shared" si="24"/>
        <v>3</v>
      </c>
      <c r="K115" s="18">
        <f t="shared" si="25"/>
        <v>1</v>
      </c>
      <c r="L115" s="18">
        <f t="shared" si="26"/>
        <v>2</v>
      </c>
      <c r="M115" s="18">
        <f t="shared" si="27"/>
        <v>0</v>
      </c>
      <c r="N115" s="18">
        <f t="shared" si="28"/>
        <v>1</v>
      </c>
      <c r="O115" s="18">
        <f t="shared" si="29"/>
        <v>2</v>
      </c>
      <c r="P115" s="18">
        <f t="shared" si="30"/>
        <v>1</v>
      </c>
      <c r="Q115" s="18">
        <f t="shared" si="31"/>
        <v>3</v>
      </c>
      <c r="U115" s="35" t="s">
        <v>19</v>
      </c>
      <c r="Y115"/>
    </row>
    <row r="116" spans="2:25" hidden="1" x14ac:dyDescent="0.25">
      <c r="B116" s="1" t="s">
        <v>347</v>
      </c>
      <c r="C116" s="1" t="s">
        <v>106</v>
      </c>
      <c r="D116" s="2">
        <v>1</v>
      </c>
      <c r="E116" s="2" t="s">
        <v>59</v>
      </c>
      <c r="F116" s="2">
        <v>4</v>
      </c>
      <c r="G116" s="2">
        <v>3</v>
      </c>
      <c r="H116" s="2">
        <v>3</v>
      </c>
      <c r="I116" s="2">
        <v>0</v>
      </c>
      <c r="J116" s="18">
        <f t="shared" si="24"/>
        <v>1.5</v>
      </c>
      <c r="K116" s="18">
        <f t="shared" si="25"/>
        <v>0.75</v>
      </c>
      <c r="L116" s="18">
        <f t="shared" si="26"/>
        <v>0.75</v>
      </c>
      <c r="M116" s="18">
        <f t="shared" si="27"/>
        <v>0</v>
      </c>
      <c r="N116" s="18">
        <f t="shared" si="28"/>
        <v>0.75</v>
      </c>
      <c r="O116" s="18">
        <f t="shared" si="29"/>
        <v>3</v>
      </c>
      <c r="P116" s="18">
        <f t="shared" si="30"/>
        <v>3</v>
      </c>
      <c r="Q116" s="18">
        <f t="shared" si="31"/>
        <v>1.5</v>
      </c>
      <c r="Y116"/>
    </row>
    <row r="117" spans="2:25" hidden="1" x14ac:dyDescent="0.25">
      <c r="B117" s="1" t="s">
        <v>193</v>
      </c>
      <c r="C117" s="1" t="s">
        <v>106</v>
      </c>
      <c r="D117" s="2">
        <v>1</v>
      </c>
      <c r="E117" s="2" t="s">
        <v>16</v>
      </c>
      <c r="F117" s="2">
        <v>1</v>
      </c>
      <c r="G117" s="2">
        <v>2</v>
      </c>
      <c r="H117" s="2">
        <v>2</v>
      </c>
      <c r="I117" s="2">
        <v>0</v>
      </c>
      <c r="J117" s="18">
        <f t="shared" si="24"/>
        <v>4</v>
      </c>
      <c r="K117" s="18">
        <f t="shared" si="25"/>
        <v>2</v>
      </c>
      <c r="L117" s="18">
        <f t="shared" si="26"/>
        <v>2</v>
      </c>
      <c r="M117" s="18">
        <f t="shared" si="27"/>
        <v>0</v>
      </c>
      <c r="N117" s="18">
        <f t="shared" si="28"/>
        <v>2</v>
      </c>
      <c r="O117" s="18">
        <f t="shared" si="29"/>
        <v>2</v>
      </c>
      <c r="P117" s="18">
        <f t="shared" si="30"/>
        <v>2</v>
      </c>
      <c r="Q117" s="18">
        <f t="shared" si="31"/>
        <v>4</v>
      </c>
      <c r="Y117"/>
    </row>
    <row r="118" spans="2:25" hidden="1" x14ac:dyDescent="0.25">
      <c r="B118" s="1" t="s">
        <v>344</v>
      </c>
      <c r="C118" s="1" t="s">
        <v>110</v>
      </c>
      <c r="D118" s="2">
        <v>1</v>
      </c>
      <c r="E118" s="2" t="s">
        <v>42</v>
      </c>
      <c r="F118" s="2">
        <v>1</v>
      </c>
      <c r="G118" s="2">
        <v>1</v>
      </c>
      <c r="H118" s="2">
        <v>2</v>
      </c>
      <c r="I118" s="2">
        <v>0</v>
      </c>
      <c r="J118" s="18">
        <f t="shared" si="24"/>
        <v>3</v>
      </c>
      <c r="K118" s="18">
        <f t="shared" si="25"/>
        <v>1</v>
      </c>
      <c r="L118" s="18">
        <f t="shared" si="26"/>
        <v>2</v>
      </c>
      <c r="M118" s="18">
        <f t="shared" si="27"/>
        <v>0</v>
      </c>
      <c r="N118" s="18">
        <f t="shared" si="28"/>
        <v>1</v>
      </c>
      <c r="O118" s="18">
        <f t="shared" si="29"/>
        <v>1</v>
      </c>
      <c r="P118" s="18">
        <f t="shared" si="30"/>
        <v>1</v>
      </c>
      <c r="Q118" s="18">
        <f t="shared" si="31"/>
        <v>3</v>
      </c>
      <c r="Y118"/>
    </row>
    <row r="119" spans="2:25" hidden="1" x14ac:dyDescent="0.25">
      <c r="B119" s="1" t="s">
        <v>324</v>
      </c>
      <c r="C119" s="1" t="s">
        <v>274</v>
      </c>
      <c r="D119" s="2">
        <v>10</v>
      </c>
      <c r="E119" s="2" t="s">
        <v>42</v>
      </c>
      <c r="F119" s="2">
        <v>12</v>
      </c>
      <c r="G119" s="2">
        <v>4</v>
      </c>
      <c r="H119" s="2">
        <v>9</v>
      </c>
      <c r="I119" s="2">
        <v>-3</v>
      </c>
      <c r="J119" s="18">
        <f t="shared" si="24"/>
        <v>0.83333333333333337</v>
      </c>
      <c r="K119" s="18">
        <f t="shared" si="25"/>
        <v>0.33333333333333331</v>
      </c>
      <c r="L119" s="18">
        <f t="shared" si="26"/>
        <v>0.75</v>
      </c>
      <c r="M119" s="18">
        <f t="shared" si="27"/>
        <v>-0.25</v>
      </c>
      <c r="N119" s="18">
        <f t="shared" si="28"/>
        <v>8.3333333333333329E-2</v>
      </c>
      <c r="O119" s="18">
        <f t="shared" si="29"/>
        <v>1</v>
      </c>
      <c r="P119" s="18">
        <f t="shared" si="30"/>
        <v>0.1</v>
      </c>
      <c r="Q119" s="18">
        <f t="shared" si="31"/>
        <v>1.0833333333333333</v>
      </c>
      <c r="T119" s="20" t="s">
        <v>325</v>
      </c>
      <c r="V119" s="3" t="s">
        <v>326</v>
      </c>
      <c r="Y119"/>
    </row>
    <row r="120" spans="2:25" hidden="1" x14ac:dyDescent="0.25">
      <c r="B120" s="1" t="s">
        <v>195</v>
      </c>
      <c r="C120" s="1" t="s">
        <v>106</v>
      </c>
      <c r="D120" s="2">
        <v>3</v>
      </c>
      <c r="E120" s="2" t="s">
        <v>16</v>
      </c>
      <c r="F120" s="2">
        <v>1</v>
      </c>
      <c r="G120" s="2">
        <v>1</v>
      </c>
      <c r="H120" s="2">
        <v>3</v>
      </c>
      <c r="I120" s="2">
        <v>1</v>
      </c>
      <c r="J120" s="18">
        <f t="shared" si="24"/>
        <v>5</v>
      </c>
      <c r="K120" s="18">
        <f t="shared" si="25"/>
        <v>1</v>
      </c>
      <c r="L120" s="18">
        <f t="shared" si="26"/>
        <v>3</v>
      </c>
      <c r="M120" s="18">
        <f t="shared" si="27"/>
        <v>1</v>
      </c>
      <c r="N120" s="18">
        <f t="shared" si="28"/>
        <v>2</v>
      </c>
      <c r="O120" s="18">
        <f t="shared" si="29"/>
        <v>2</v>
      </c>
      <c r="P120" s="18">
        <f t="shared" si="30"/>
        <v>0.66666666666666663</v>
      </c>
      <c r="Q120" s="18">
        <f t="shared" si="31"/>
        <v>4</v>
      </c>
      <c r="R120" s="17" t="s">
        <v>7</v>
      </c>
      <c r="U120" s="35" t="s">
        <v>197</v>
      </c>
      <c r="Y120"/>
    </row>
  </sheetData>
  <autoFilter ref="B4:X120">
    <filterColumn colId="4">
      <filters>
        <filter val="3"/>
        <filter val="4"/>
        <filter val="5"/>
      </filters>
    </filterColumn>
    <sortState ref="B5:X120">
      <sortCondition descending="1" ref="D4:D120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23</xdr:col>
                <xdr:colOff>342900</xdr:colOff>
                <xdr:row>0</xdr:row>
                <xdr:rowOff>161925</xdr:rowOff>
              </from>
              <to>
                <xdr:col>24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23</xdr:col>
                <xdr:colOff>0</xdr:colOff>
                <xdr:row>0</xdr:row>
                <xdr:rowOff>161925</xdr:rowOff>
              </from>
              <to>
                <xdr:col>23</xdr:col>
                <xdr:colOff>295275</xdr:colOff>
                <xdr:row>2</xdr:row>
                <xdr:rowOff>28575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17</xdr:col>
                <xdr:colOff>38100</xdr:colOff>
                <xdr:row>0</xdr:row>
                <xdr:rowOff>161925</xdr:rowOff>
              </from>
              <to>
                <xdr:col>17</xdr:col>
                <xdr:colOff>333375</xdr:colOff>
                <xdr:row>2</xdr:row>
                <xdr:rowOff>28575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17</xdr:col>
                <xdr:colOff>381000</xdr:colOff>
                <xdr:row>0</xdr:row>
                <xdr:rowOff>161925</xdr:rowOff>
              </from>
              <to>
                <xdr:col>18</xdr:col>
                <xdr:colOff>47625</xdr:colOff>
                <xdr:row>2</xdr:row>
                <xdr:rowOff>28575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P9:Q11"/>
  <sheetViews>
    <sheetView workbookViewId="0">
      <selection activeCell="P9" sqref="P9:P11"/>
    </sheetView>
  </sheetViews>
  <sheetFormatPr defaultRowHeight="15" x14ac:dyDescent="0.25"/>
  <sheetData>
    <row r="9" spans="16:17" x14ac:dyDescent="0.25">
      <c r="P9">
        <v>8</v>
      </c>
      <c r="Q9">
        <v>17</v>
      </c>
    </row>
    <row r="10" spans="16:17" x14ac:dyDescent="0.25">
      <c r="P10">
        <v>8</v>
      </c>
      <c r="Q10">
        <v>17</v>
      </c>
    </row>
    <row r="11" spans="16:17" x14ac:dyDescent="0.25">
      <c r="P11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E117"/>
  <sheetViews>
    <sheetView topLeftCell="A25" workbookViewId="0">
      <selection activeCell="A50" sqref="A50"/>
    </sheetView>
  </sheetViews>
  <sheetFormatPr defaultRowHeight="15" x14ac:dyDescent="0.25"/>
  <cols>
    <col min="25" max="25" width="10.140625" customWidth="1"/>
  </cols>
  <sheetData>
    <row r="2" spans="1:1" x14ac:dyDescent="0.25">
      <c r="A2" t="s">
        <v>375</v>
      </c>
    </row>
    <row r="3" spans="1:1" x14ac:dyDescent="0.25">
      <c r="A3">
        <v>16</v>
      </c>
    </row>
    <row r="4" spans="1:1" ht="18.75" x14ac:dyDescent="0.3">
      <c r="A4" s="12" t="s">
        <v>482</v>
      </c>
    </row>
    <row r="5" spans="1:1" x14ac:dyDescent="0.25">
      <c r="A5">
        <v>20</v>
      </c>
    </row>
    <row r="6" spans="1:1" x14ac:dyDescent="0.25">
      <c r="A6" t="s">
        <v>376</v>
      </c>
    </row>
    <row r="7" spans="1:1" x14ac:dyDescent="0.25">
      <c r="A7" t="s">
        <v>377</v>
      </c>
    </row>
    <row r="8" spans="1:1" x14ac:dyDescent="0.25">
      <c r="A8">
        <v>23</v>
      </c>
    </row>
    <row r="9" spans="1:1" x14ac:dyDescent="0.25">
      <c r="A9" t="s">
        <v>379</v>
      </c>
    </row>
    <row r="10" spans="1:1" ht="18.75" x14ac:dyDescent="0.3">
      <c r="A10" s="12" t="s">
        <v>380</v>
      </c>
    </row>
    <row r="11" spans="1:1" x14ac:dyDescent="0.25">
      <c r="A11">
        <v>25</v>
      </c>
    </row>
    <row r="12" spans="1:1" x14ac:dyDescent="0.25">
      <c r="A12" t="s">
        <v>381</v>
      </c>
    </row>
    <row r="13" spans="1:1" ht="18.75" x14ac:dyDescent="0.3">
      <c r="A13" s="12" t="s">
        <v>382</v>
      </c>
    </row>
    <row r="14" spans="1:1" ht="18.75" x14ac:dyDescent="0.3">
      <c r="A14" s="12">
        <v>28</v>
      </c>
    </row>
    <row r="15" spans="1:1" x14ac:dyDescent="0.25">
      <c r="A15" t="s">
        <v>383</v>
      </c>
    </row>
    <row r="16" spans="1:1" ht="18.75" x14ac:dyDescent="0.3">
      <c r="A16" s="12" t="s">
        <v>385</v>
      </c>
    </row>
    <row r="17" spans="1:23" x14ac:dyDescent="0.25">
      <c r="A17" t="s">
        <v>425</v>
      </c>
      <c r="E17">
        <f>C17+D17</f>
        <v>0</v>
      </c>
    </row>
    <row r="18" spans="1:23" ht="18.75" x14ac:dyDescent="0.3">
      <c r="A18" s="12" t="s">
        <v>394</v>
      </c>
      <c r="B18">
        <v>615</v>
      </c>
      <c r="C18">
        <v>22911</v>
      </c>
      <c r="D18">
        <v>-7340</v>
      </c>
      <c r="E18">
        <f>C18+D18</f>
        <v>15571</v>
      </c>
    </row>
    <row r="19" spans="1:23" x14ac:dyDescent="0.25">
      <c r="A19">
        <v>29</v>
      </c>
    </row>
    <row r="20" spans="1:23" x14ac:dyDescent="0.25">
      <c r="A20" t="s">
        <v>388</v>
      </c>
      <c r="B20" s="13">
        <v>747</v>
      </c>
      <c r="C20" s="13">
        <v>22151</v>
      </c>
      <c r="D20" s="13">
        <v>-9500</v>
      </c>
      <c r="E20" s="13">
        <f>C20+D20</f>
        <v>12651</v>
      </c>
    </row>
    <row r="21" spans="1:23" ht="18.75" x14ac:dyDescent="0.3">
      <c r="A21" s="12" t="s">
        <v>390</v>
      </c>
      <c r="B21">
        <v>642</v>
      </c>
      <c r="C21">
        <v>23639</v>
      </c>
      <c r="D21">
        <v>-11860</v>
      </c>
      <c r="E21">
        <f>C21+D21</f>
        <v>11779</v>
      </c>
    </row>
    <row r="22" spans="1:23" x14ac:dyDescent="0.25">
      <c r="A22" t="s">
        <v>424</v>
      </c>
      <c r="B22" s="13">
        <v>624</v>
      </c>
      <c r="C22" s="13">
        <v>23057</v>
      </c>
      <c r="D22" s="13">
        <v>-9500</v>
      </c>
      <c r="E22" s="13">
        <f>C22+D22</f>
        <v>13557</v>
      </c>
    </row>
    <row r="23" spans="1:23" x14ac:dyDescent="0.25">
      <c r="A23" t="s">
        <v>442</v>
      </c>
      <c r="B23" s="16">
        <v>624</v>
      </c>
      <c r="C23" s="16">
        <v>23057</v>
      </c>
      <c r="D23" s="16">
        <v>-8383</v>
      </c>
      <c r="E23" s="16">
        <f>C23+D23</f>
        <v>14674</v>
      </c>
    </row>
    <row r="24" spans="1:23" ht="18.75" x14ac:dyDescent="0.3">
      <c r="A24" s="12" t="s">
        <v>390</v>
      </c>
      <c r="B24">
        <v>654</v>
      </c>
      <c r="C24">
        <v>23639</v>
      </c>
      <c r="D24">
        <v>-8590</v>
      </c>
      <c r="E24">
        <f>C24+D24</f>
        <v>15049</v>
      </c>
    </row>
    <row r="25" spans="1:23" x14ac:dyDescent="0.25">
      <c r="A25" t="s">
        <v>378</v>
      </c>
    </row>
    <row r="26" spans="1:23" ht="18.75" x14ac:dyDescent="0.3">
      <c r="A26" s="12" t="s">
        <v>464</v>
      </c>
    </row>
    <row r="27" spans="1:23" x14ac:dyDescent="0.25">
      <c r="A27" t="s">
        <v>422</v>
      </c>
      <c r="U27">
        <v>211215</v>
      </c>
      <c r="V27">
        <v>47350</v>
      </c>
      <c r="W27">
        <f>V27+U27</f>
        <v>258565</v>
      </c>
    </row>
    <row r="28" spans="1:23" ht="18.75" x14ac:dyDescent="0.3">
      <c r="A28" s="12" t="s">
        <v>386</v>
      </c>
      <c r="U28">
        <v>151085</v>
      </c>
      <c r="V28">
        <v>240532</v>
      </c>
      <c r="W28">
        <f>V28+U28</f>
        <v>391617</v>
      </c>
    </row>
    <row r="29" spans="1:23" ht="18.75" x14ac:dyDescent="0.3">
      <c r="A29" s="12" t="s">
        <v>423</v>
      </c>
      <c r="B29" s="13">
        <v>798</v>
      </c>
      <c r="C29" s="13">
        <v>22300</v>
      </c>
      <c r="D29" s="13">
        <v>-9500</v>
      </c>
      <c r="E29" s="13">
        <f>C29+D29</f>
        <v>12800</v>
      </c>
      <c r="U29">
        <v>99545</v>
      </c>
      <c r="V29">
        <v>407281</v>
      </c>
      <c r="W29">
        <f t="shared" ref="W29:W35" si="0">V29+U29</f>
        <v>506826</v>
      </c>
    </row>
    <row r="30" spans="1:23" x14ac:dyDescent="0.25">
      <c r="A30" t="s">
        <v>5</v>
      </c>
      <c r="U30">
        <v>73775</v>
      </c>
      <c r="V30">
        <v>508944</v>
      </c>
      <c r="W30">
        <f t="shared" si="0"/>
        <v>582719</v>
      </c>
    </row>
    <row r="31" spans="1:23" x14ac:dyDescent="0.25">
      <c r="A31" t="s">
        <v>392</v>
      </c>
      <c r="U31">
        <v>73</v>
      </c>
      <c r="V31">
        <v>536</v>
      </c>
      <c r="W31">
        <f t="shared" si="0"/>
        <v>609</v>
      </c>
    </row>
    <row r="32" spans="1:23" x14ac:dyDescent="0.25">
      <c r="A32" t="s">
        <v>393</v>
      </c>
      <c r="B32" s="13">
        <v>794</v>
      </c>
      <c r="C32" s="13">
        <v>20253</v>
      </c>
      <c r="D32" s="13">
        <v>-7000</v>
      </c>
      <c r="E32" s="13">
        <f t="shared" ref="E32:E37" si="1">C32+D32</f>
        <v>13253</v>
      </c>
      <c r="U32">
        <v>13</v>
      </c>
      <c r="V32">
        <v>702</v>
      </c>
      <c r="W32">
        <f t="shared" si="0"/>
        <v>715</v>
      </c>
    </row>
    <row r="33" spans="1:27" ht="18.75" x14ac:dyDescent="0.3">
      <c r="A33" s="12" t="s">
        <v>427</v>
      </c>
      <c r="B33">
        <v>570</v>
      </c>
      <c r="C33">
        <v>22041</v>
      </c>
      <c r="D33">
        <v>-12977</v>
      </c>
      <c r="E33">
        <f t="shared" si="1"/>
        <v>9064</v>
      </c>
      <c r="U33">
        <v>303</v>
      </c>
      <c r="V33">
        <v>356</v>
      </c>
      <c r="W33">
        <f t="shared" si="0"/>
        <v>659</v>
      </c>
    </row>
    <row r="34" spans="1:27" x14ac:dyDescent="0.25">
      <c r="A34" t="s">
        <v>395</v>
      </c>
      <c r="B34" s="13">
        <v>798</v>
      </c>
      <c r="C34" s="13">
        <v>20322</v>
      </c>
      <c r="D34" s="13">
        <v>-7113</v>
      </c>
      <c r="E34" s="13">
        <f t="shared" si="1"/>
        <v>13209</v>
      </c>
      <c r="W34">
        <f t="shared" si="0"/>
        <v>0</v>
      </c>
    </row>
    <row r="35" spans="1:27" ht="18.75" x14ac:dyDescent="0.3">
      <c r="A35" s="12" t="s">
        <v>396</v>
      </c>
      <c r="E35">
        <f t="shared" si="1"/>
        <v>0</v>
      </c>
      <c r="W35">
        <f t="shared" si="0"/>
        <v>0</v>
      </c>
    </row>
    <row r="36" spans="1:27" ht="18.75" x14ac:dyDescent="0.3">
      <c r="A36" s="12" t="s">
        <v>398</v>
      </c>
      <c r="B36" s="13">
        <v>798</v>
      </c>
      <c r="C36" s="13">
        <v>20322</v>
      </c>
      <c r="D36" s="13">
        <v>-7454</v>
      </c>
      <c r="E36" s="13">
        <f t="shared" si="1"/>
        <v>12868</v>
      </c>
    </row>
    <row r="37" spans="1:27" ht="18.75" x14ac:dyDescent="0.3">
      <c r="A37" s="12" t="s">
        <v>397</v>
      </c>
      <c r="B37" s="13">
        <v>798</v>
      </c>
      <c r="C37" s="13">
        <v>20322</v>
      </c>
      <c r="D37" s="13">
        <v>-8363</v>
      </c>
      <c r="E37" s="13">
        <f t="shared" si="1"/>
        <v>11959</v>
      </c>
      <c r="P37" s="14"/>
    </row>
    <row r="38" spans="1:27" x14ac:dyDescent="0.25">
      <c r="A38">
        <v>30</v>
      </c>
    </row>
    <row r="39" spans="1:27" ht="18.75" x14ac:dyDescent="0.3">
      <c r="A39" s="12" t="s">
        <v>469</v>
      </c>
      <c r="B39" s="13">
        <v>794</v>
      </c>
      <c r="C39" s="13">
        <v>22505</v>
      </c>
      <c r="D39" s="13">
        <v>-9613</v>
      </c>
      <c r="E39" s="13">
        <f>C39+D39</f>
        <v>12892</v>
      </c>
    </row>
    <row r="40" spans="1:27" x14ac:dyDescent="0.25">
      <c r="A40">
        <v>32</v>
      </c>
    </row>
    <row r="41" spans="1:27" x14ac:dyDescent="0.25">
      <c r="A41" t="s">
        <v>448</v>
      </c>
      <c r="B41" s="13">
        <v>738</v>
      </c>
      <c r="C41" s="13">
        <v>24531</v>
      </c>
      <c r="D41" s="13">
        <v>-11970</v>
      </c>
      <c r="E41" s="13">
        <f>C41+D41</f>
        <v>12561</v>
      </c>
    </row>
    <row r="42" spans="1:27" ht="18.75" x14ac:dyDescent="0.3">
      <c r="A42" s="12" t="s">
        <v>449</v>
      </c>
      <c r="B42">
        <v>752</v>
      </c>
      <c r="C42">
        <v>24650</v>
      </c>
      <c r="D42">
        <v>-11634</v>
      </c>
      <c r="E42">
        <f>C42+D42</f>
        <v>13016</v>
      </c>
    </row>
    <row r="43" spans="1:27" x14ac:dyDescent="0.25">
      <c r="A43">
        <v>33</v>
      </c>
      <c r="Y43" t="s">
        <v>433</v>
      </c>
      <c r="Z43">
        <v>604.5</v>
      </c>
    </row>
    <row r="44" spans="1:27" x14ac:dyDescent="0.25">
      <c r="A44" t="s">
        <v>426</v>
      </c>
      <c r="B44" s="13">
        <v>785</v>
      </c>
      <c r="C44" s="13">
        <v>24926</v>
      </c>
      <c r="D44" s="13">
        <v>-13059</v>
      </c>
      <c r="E44" s="13">
        <f>C44+D44</f>
        <v>11867</v>
      </c>
    </row>
    <row r="45" spans="1:27" ht="18.75" x14ac:dyDescent="0.3">
      <c r="A45" s="12" t="s">
        <v>391</v>
      </c>
      <c r="B45">
        <v>798</v>
      </c>
      <c r="C45">
        <v>25089</v>
      </c>
      <c r="D45">
        <v>-12753</v>
      </c>
      <c r="E45">
        <f>C45+D45</f>
        <v>12336</v>
      </c>
    </row>
    <row r="46" spans="1:27" x14ac:dyDescent="0.25">
      <c r="A46" t="s">
        <v>430</v>
      </c>
      <c r="B46" s="13">
        <v>900</v>
      </c>
      <c r="C46" s="13">
        <v>25104</v>
      </c>
      <c r="D46" s="13">
        <v>-12753</v>
      </c>
      <c r="E46" s="13">
        <f>C46+D46</f>
        <v>12351</v>
      </c>
      <c r="Y46" t="s">
        <v>434</v>
      </c>
      <c r="Z46">
        <v>1370</v>
      </c>
      <c r="AA46">
        <f>Z46-Z43</f>
        <v>765.5</v>
      </c>
    </row>
    <row r="47" spans="1:27" ht="18.75" x14ac:dyDescent="0.3">
      <c r="A47" s="12" t="s">
        <v>429</v>
      </c>
      <c r="B47">
        <v>570</v>
      </c>
      <c r="C47">
        <v>22041</v>
      </c>
      <c r="D47">
        <v>-12977</v>
      </c>
      <c r="E47">
        <f>C47+D47</f>
        <v>9064</v>
      </c>
    </row>
    <row r="48" spans="1:27" ht="18.75" x14ac:dyDescent="0.3">
      <c r="A48" s="12" t="s">
        <v>431</v>
      </c>
      <c r="B48" s="15">
        <v>900</v>
      </c>
      <c r="C48" s="15">
        <v>25104</v>
      </c>
      <c r="D48" s="15">
        <v>-12865</v>
      </c>
      <c r="E48" s="15">
        <f>C48+D48</f>
        <v>12239</v>
      </c>
      <c r="N48">
        <v>1</v>
      </c>
      <c r="O48">
        <v>884</v>
      </c>
      <c r="P48">
        <v>27213</v>
      </c>
      <c r="Q48">
        <v>0</v>
      </c>
      <c r="R48">
        <v>0</v>
      </c>
      <c r="S48">
        <v>-14850</v>
      </c>
      <c r="T48" s="13">
        <f>P48+S48+Q48+R48</f>
        <v>12363</v>
      </c>
      <c r="U48">
        <f>R48</f>
        <v>0</v>
      </c>
    </row>
    <row r="49" spans="1:31" x14ac:dyDescent="0.25">
      <c r="A49">
        <v>36</v>
      </c>
      <c r="N49">
        <v>2</v>
      </c>
      <c r="O49">
        <v>884</v>
      </c>
      <c r="P49">
        <v>27213</v>
      </c>
      <c r="Q49">
        <v>0</v>
      </c>
      <c r="R49">
        <v>605</v>
      </c>
      <c r="S49">
        <v>-14850</v>
      </c>
      <c r="T49" s="13">
        <f t="shared" ref="T49:T96" si="2">P49+S49+Q49+R49</f>
        <v>12968</v>
      </c>
      <c r="U49">
        <f t="shared" ref="U49:U55" si="3">R49</f>
        <v>605</v>
      </c>
      <c r="W49">
        <f>U49*4</f>
        <v>2420</v>
      </c>
      <c r="Y49" t="s">
        <v>435</v>
      </c>
      <c r="Z49" s="15">
        <v>956</v>
      </c>
      <c r="AA49" s="15">
        <v>36285</v>
      </c>
      <c r="AB49" s="15">
        <v>-1512</v>
      </c>
      <c r="AC49" s="15">
        <v>21699</v>
      </c>
      <c r="AD49" s="15">
        <v>-20670</v>
      </c>
      <c r="AE49" s="15">
        <f>AA49+AD49+AB49+AC49</f>
        <v>35802</v>
      </c>
    </row>
    <row r="50" spans="1:31" x14ac:dyDescent="0.25">
      <c r="A50" t="s">
        <v>444</v>
      </c>
      <c r="N50">
        <v>3</v>
      </c>
      <c r="O50">
        <v>884</v>
      </c>
      <c r="P50">
        <v>27213</v>
      </c>
      <c r="Q50">
        <v>0</v>
      </c>
      <c r="S50">
        <v>-14850</v>
      </c>
      <c r="T50" s="13">
        <f>P50+S50+Q50+R51</f>
        <v>13572</v>
      </c>
      <c r="U50">
        <f t="shared" si="3"/>
        <v>0</v>
      </c>
      <c r="Y50" t="s">
        <v>436</v>
      </c>
      <c r="Z50" s="15">
        <v>884</v>
      </c>
      <c r="AA50" s="15">
        <v>27213</v>
      </c>
      <c r="AB50" s="15">
        <v>0</v>
      </c>
      <c r="AC50" s="15">
        <v>17532</v>
      </c>
      <c r="AD50" s="15">
        <v>-14850</v>
      </c>
      <c r="AE50" s="15">
        <f>AA50+AD50+AB50+AC50</f>
        <v>29895</v>
      </c>
    </row>
    <row r="51" spans="1:31" x14ac:dyDescent="0.25">
      <c r="N51">
        <v>4</v>
      </c>
      <c r="O51">
        <v>884</v>
      </c>
      <c r="P51">
        <v>27213</v>
      </c>
      <c r="Q51">
        <v>0</v>
      </c>
      <c r="R51">
        <v>1209</v>
      </c>
      <c r="S51">
        <v>-14850</v>
      </c>
      <c r="T51" s="13">
        <f>P51+S51+Q51+R52</f>
        <v>12363</v>
      </c>
      <c r="U51">
        <f t="shared" si="3"/>
        <v>1209</v>
      </c>
    </row>
    <row r="52" spans="1:31" x14ac:dyDescent="0.25">
      <c r="N52">
        <v>5</v>
      </c>
      <c r="O52">
        <v>884</v>
      </c>
      <c r="P52">
        <v>27213</v>
      </c>
      <c r="Q52">
        <v>0</v>
      </c>
      <c r="S52">
        <v>-14850</v>
      </c>
      <c r="T52" s="13">
        <f t="shared" si="2"/>
        <v>12363</v>
      </c>
      <c r="U52">
        <f>R52</f>
        <v>0</v>
      </c>
    </row>
    <row r="53" spans="1:31" x14ac:dyDescent="0.25">
      <c r="N53">
        <v>6</v>
      </c>
      <c r="O53">
        <v>884</v>
      </c>
      <c r="P53">
        <v>27213</v>
      </c>
      <c r="Q53">
        <v>0</v>
      </c>
      <c r="S53">
        <v>-14850</v>
      </c>
      <c r="T53" s="13">
        <f t="shared" si="2"/>
        <v>12363</v>
      </c>
      <c r="U53">
        <f t="shared" si="3"/>
        <v>0</v>
      </c>
    </row>
    <row r="54" spans="1:31" x14ac:dyDescent="0.25">
      <c r="N54">
        <v>7</v>
      </c>
      <c r="O54">
        <v>884</v>
      </c>
      <c r="P54">
        <v>27213</v>
      </c>
      <c r="Q54">
        <v>0</v>
      </c>
      <c r="S54">
        <v>-14850</v>
      </c>
      <c r="T54" s="13">
        <f t="shared" si="2"/>
        <v>12363</v>
      </c>
      <c r="U54">
        <f t="shared" si="3"/>
        <v>0</v>
      </c>
    </row>
    <row r="55" spans="1:31" x14ac:dyDescent="0.25">
      <c r="N55">
        <v>8</v>
      </c>
      <c r="O55">
        <v>884</v>
      </c>
      <c r="P55">
        <v>27213</v>
      </c>
      <c r="Q55">
        <v>0</v>
      </c>
      <c r="R55">
        <v>2418</v>
      </c>
      <c r="S55">
        <v>-14850</v>
      </c>
      <c r="T55" s="13">
        <f t="shared" si="2"/>
        <v>14781</v>
      </c>
      <c r="U55">
        <f t="shared" si="3"/>
        <v>2418</v>
      </c>
      <c r="W55">
        <f>U55/4</f>
        <v>604.5</v>
      </c>
    </row>
    <row r="56" spans="1:31" x14ac:dyDescent="0.25">
      <c r="N56">
        <v>9</v>
      </c>
      <c r="O56">
        <v>884</v>
      </c>
      <c r="P56">
        <v>27213</v>
      </c>
      <c r="Q56">
        <v>0</v>
      </c>
      <c r="S56">
        <v>-14850</v>
      </c>
      <c r="T56" s="13">
        <f t="shared" si="2"/>
        <v>12363</v>
      </c>
      <c r="Y56" t="s">
        <v>437</v>
      </c>
      <c r="Z56" s="16">
        <v>617</v>
      </c>
      <c r="AA56" s="16">
        <v>31077</v>
      </c>
      <c r="AB56" s="16">
        <v>-2115</v>
      </c>
      <c r="AC56" s="16">
        <v>19916</v>
      </c>
      <c r="AD56" s="16">
        <v>-16804</v>
      </c>
      <c r="AE56" s="16">
        <f>AA56+AD56+AB56+AC56</f>
        <v>32074</v>
      </c>
    </row>
    <row r="57" spans="1:31" x14ac:dyDescent="0.25">
      <c r="N57">
        <v>10</v>
      </c>
      <c r="O57">
        <v>884</v>
      </c>
      <c r="P57">
        <v>27213</v>
      </c>
      <c r="Q57">
        <v>0</v>
      </c>
      <c r="S57">
        <v>-14850</v>
      </c>
      <c r="T57" s="13">
        <f t="shared" si="2"/>
        <v>12363</v>
      </c>
    </row>
    <row r="58" spans="1:31" x14ac:dyDescent="0.25">
      <c r="N58">
        <v>11</v>
      </c>
      <c r="O58">
        <v>884</v>
      </c>
      <c r="P58">
        <v>27213</v>
      </c>
      <c r="Q58">
        <v>0</v>
      </c>
      <c r="S58">
        <v>-14850</v>
      </c>
      <c r="T58" s="13">
        <f t="shared" si="2"/>
        <v>12363</v>
      </c>
    </row>
    <row r="59" spans="1:31" x14ac:dyDescent="0.25">
      <c r="N59">
        <v>12</v>
      </c>
      <c r="O59">
        <v>884</v>
      </c>
      <c r="P59">
        <v>27213</v>
      </c>
      <c r="Q59">
        <v>0</v>
      </c>
      <c r="S59">
        <v>-14850</v>
      </c>
      <c r="T59" s="13">
        <f t="shared" si="2"/>
        <v>12363</v>
      </c>
    </row>
    <row r="60" spans="1:31" x14ac:dyDescent="0.25">
      <c r="N60">
        <v>13</v>
      </c>
      <c r="O60">
        <v>884</v>
      </c>
      <c r="P60">
        <v>27213</v>
      </c>
      <c r="Q60">
        <v>0</v>
      </c>
      <c r="S60">
        <v>-14850</v>
      </c>
      <c r="T60" s="13">
        <f t="shared" si="2"/>
        <v>12363</v>
      </c>
    </row>
    <row r="61" spans="1:31" x14ac:dyDescent="0.25">
      <c r="N61">
        <v>14</v>
      </c>
      <c r="O61">
        <v>884</v>
      </c>
      <c r="P61">
        <v>27213</v>
      </c>
      <c r="Q61">
        <v>0</v>
      </c>
      <c r="S61">
        <v>-14850</v>
      </c>
      <c r="T61" s="13">
        <f t="shared" si="2"/>
        <v>12363</v>
      </c>
    </row>
    <row r="62" spans="1:31" x14ac:dyDescent="0.25">
      <c r="N62">
        <v>15</v>
      </c>
      <c r="O62">
        <v>884</v>
      </c>
      <c r="P62">
        <v>27213</v>
      </c>
      <c r="Q62">
        <v>0</v>
      </c>
      <c r="S62">
        <v>-14850</v>
      </c>
      <c r="T62" s="13">
        <f t="shared" si="2"/>
        <v>12363</v>
      </c>
    </row>
    <row r="63" spans="1:31" x14ac:dyDescent="0.25">
      <c r="N63">
        <v>16</v>
      </c>
      <c r="O63">
        <v>884</v>
      </c>
      <c r="P63">
        <v>27213</v>
      </c>
      <c r="Q63">
        <v>0</v>
      </c>
      <c r="S63">
        <v>-14850</v>
      </c>
      <c r="T63" s="13">
        <f t="shared" si="2"/>
        <v>12363</v>
      </c>
    </row>
    <row r="64" spans="1:31" x14ac:dyDescent="0.25">
      <c r="N64">
        <v>17</v>
      </c>
      <c r="O64">
        <v>884</v>
      </c>
      <c r="P64">
        <v>27213</v>
      </c>
      <c r="Q64">
        <v>0</v>
      </c>
      <c r="R64">
        <v>4836</v>
      </c>
      <c r="S64">
        <v>-14850</v>
      </c>
      <c r="T64" s="13">
        <f t="shared" si="2"/>
        <v>17199</v>
      </c>
      <c r="W64">
        <f>R64/8</f>
        <v>604.5</v>
      </c>
    </row>
    <row r="65" spans="14:20" x14ac:dyDescent="0.25">
      <c r="N65">
        <v>18</v>
      </c>
      <c r="O65">
        <v>884</v>
      </c>
      <c r="P65">
        <v>27213</v>
      </c>
      <c r="Q65">
        <v>0</v>
      </c>
      <c r="S65">
        <v>-14850</v>
      </c>
      <c r="T65" s="13">
        <f t="shared" si="2"/>
        <v>12363</v>
      </c>
    </row>
    <row r="66" spans="14:20" x14ac:dyDescent="0.25">
      <c r="N66">
        <v>19</v>
      </c>
      <c r="O66">
        <v>884</v>
      </c>
      <c r="P66">
        <v>27213</v>
      </c>
      <c r="Q66">
        <v>0</v>
      </c>
      <c r="S66">
        <v>-14850</v>
      </c>
      <c r="T66" s="13">
        <f t="shared" si="2"/>
        <v>12363</v>
      </c>
    </row>
    <row r="67" spans="14:20" x14ac:dyDescent="0.25">
      <c r="N67">
        <v>20</v>
      </c>
      <c r="O67">
        <v>884</v>
      </c>
      <c r="P67">
        <v>27213</v>
      </c>
      <c r="Q67">
        <v>0</v>
      </c>
      <c r="S67">
        <v>-14850</v>
      </c>
      <c r="T67" s="13">
        <f t="shared" si="2"/>
        <v>12363</v>
      </c>
    </row>
    <row r="68" spans="14:20" x14ac:dyDescent="0.25">
      <c r="N68">
        <v>21</v>
      </c>
      <c r="O68">
        <v>884</v>
      </c>
      <c r="P68">
        <v>27213</v>
      </c>
      <c r="Q68">
        <v>0</v>
      </c>
      <c r="S68">
        <v>-14850</v>
      </c>
      <c r="T68" s="13">
        <f t="shared" si="2"/>
        <v>12363</v>
      </c>
    </row>
    <row r="69" spans="14:20" x14ac:dyDescent="0.25">
      <c r="N69">
        <v>22</v>
      </c>
      <c r="O69">
        <v>884</v>
      </c>
      <c r="P69">
        <v>27213</v>
      </c>
      <c r="Q69">
        <v>0</v>
      </c>
      <c r="S69">
        <v>-14850</v>
      </c>
      <c r="T69" s="13">
        <f t="shared" si="2"/>
        <v>12363</v>
      </c>
    </row>
    <row r="70" spans="14:20" x14ac:dyDescent="0.25">
      <c r="N70">
        <v>23</v>
      </c>
      <c r="O70">
        <v>884</v>
      </c>
      <c r="P70">
        <v>27213</v>
      </c>
      <c r="Q70">
        <v>0</v>
      </c>
      <c r="S70">
        <v>-14850</v>
      </c>
      <c r="T70" s="13">
        <f t="shared" si="2"/>
        <v>12363</v>
      </c>
    </row>
    <row r="71" spans="14:20" x14ac:dyDescent="0.25">
      <c r="N71">
        <v>24</v>
      </c>
      <c r="O71">
        <v>884</v>
      </c>
      <c r="P71">
        <v>27213</v>
      </c>
      <c r="Q71">
        <v>0</v>
      </c>
      <c r="S71">
        <v>-14850</v>
      </c>
      <c r="T71" s="13">
        <f t="shared" si="2"/>
        <v>12363</v>
      </c>
    </row>
    <row r="72" spans="14:20" x14ac:dyDescent="0.25">
      <c r="N72">
        <v>25</v>
      </c>
      <c r="O72">
        <v>884</v>
      </c>
      <c r="P72">
        <v>27213</v>
      </c>
      <c r="Q72">
        <v>0</v>
      </c>
      <c r="S72">
        <v>-14850</v>
      </c>
      <c r="T72" s="13">
        <f t="shared" si="2"/>
        <v>12363</v>
      </c>
    </row>
    <row r="73" spans="14:20" x14ac:dyDescent="0.25">
      <c r="N73">
        <v>26</v>
      </c>
      <c r="O73">
        <v>884</v>
      </c>
      <c r="P73">
        <v>27213</v>
      </c>
      <c r="Q73">
        <v>0</v>
      </c>
      <c r="S73">
        <v>-14850</v>
      </c>
      <c r="T73" s="13">
        <f t="shared" si="2"/>
        <v>12363</v>
      </c>
    </row>
    <row r="74" spans="14:20" x14ac:dyDescent="0.25">
      <c r="N74">
        <v>27</v>
      </c>
      <c r="O74">
        <v>884</v>
      </c>
      <c r="P74">
        <v>27213</v>
      </c>
      <c r="Q74">
        <v>0</v>
      </c>
      <c r="S74">
        <v>-14850</v>
      </c>
      <c r="T74" s="13">
        <f t="shared" si="2"/>
        <v>12363</v>
      </c>
    </row>
    <row r="75" spans="14:20" x14ac:dyDescent="0.25">
      <c r="N75">
        <v>28</v>
      </c>
      <c r="O75">
        <v>884</v>
      </c>
      <c r="P75">
        <v>27213</v>
      </c>
      <c r="Q75">
        <v>0</v>
      </c>
      <c r="S75">
        <v>-14850</v>
      </c>
      <c r="T75" s="13">
        <f t="shared" si="2"/>
        <v>12363</v>
      </c>
    </row>
    <row r="76" spans="14:20" x14ac:dyDescent="0.25">
      <c r="N76">
        <v>29</v>
      </c>
      <c r="O76">
        <v>884</v>
      </c>
      <c r="P76">
        <v>27213</v>
      </c>
      <c r="Q76">
        <v>0</v>
      </c>
      <c r="S76">
        <v>-14850</v>
      </c>
      <c r="T76" s="13">
        <f t="shared" si="2"/>
        <v>12363</v>
      </c>
    </row>
    <row r="77" spans="14:20" x14ac:dyDescent="0.25">
      <c r="N77">
        <v>30</v>
      </c>
      <c r="O77">
        <v>884</v>
      </c>
      <c r="P77">
        <v>27213</v>
      </c>
      <c r="Q77">
        <v>0</v>
      </c>
      <c r="S77">
        <v>-14850</v>
      </c>
      <c r="T77" s="13">
        <f>P77+S77+Q77+R77</f>
        <v>12363</v>
      </c>
    </row>
    <row r="78" spans="14:20" x14ac:dyDescent="0.25">
      <c r="N78">
        <v>31</v>
      </c>
      <c r="O78">
        <v>884</v>
      </c>
      <c r="P78">
        <v>27213</v>
      </c>
      <c r="Q78">
        <v>0</v>
      </c>
      <c r="S78">
        <v>-14850</v>
      </c>
      <c r="T78" s="13">
        <f t="shared" si="2"/>
        <v>12363</v>
      </c>
    </row>
    <row r="79" spans="14:20" x14ac:dyDescent="0.25">
      <c r="N79">
        <v>32</v>
      </c>
      <c r="O79">
        <v>884</v>
      </c>
      <c r="P79">
        <v>27213</v>
      </c>
      <c r="Q79">
        <v>0</v>
      </c>
      <c r="S79">
        <v>-14850</v>
      </c>
      <c r="T79" s="13">
        <f t="shared" si="2"/>
        <v>12363</v>
      </c>
    </row>
    <row r="80" spans="14:20" x14ac:dyDescent="0.25">
      <c r="N80">
        <v>33</v>
      </c>
      <c r="O80">
        <v>884</v>
      </c>
      <c r="P80">
        <v>27213</v>
      </c>
      <c r="Q80">
        <v>0</v>
      </c>
      <c r="S80">
        <v>-14850</v>
      </c>
      <c r="T80" s="13">
        <f t="shared" si="2"/>
        <v>12363</v>
      </c>
    </row>
    <row r="81" spans="14:23" x14ac:dyDescent="0.25">
      <c r="N81">
        <v>34</v>
      </c>
      <c r="O81">
        <v>884</v>
      </c>
      <c r="P81">
        <v>27213</v>
      </c>
      <c r="Q81">
        <v>0</v>
      </c>
      <c r="S81">
        <v>-14850</v>
      </c>
      <c r="T81" s="13">
        <f t="shared" si="2"/>
        <v>12363</v>
      </c>
    </row>
    <row r="82" spans="14:23" x14ac:dyDescent="0.25">
      <c r="N82">
        <v>35</v>
      </c>
      <c r="O82">
        <v>884</v>
      </c>
      <c r="P82">
        <v>27213</v>
      </c>
      <c r="Q82">
        <v>0</v>
      </c>
      <c r="S82">
        <v>-14850</v>
      </c>
      <c r="T82" s="13">
        <f t="shared" si="2"/>
        <v>12363</v>
      </c>
    </row>
    <row r="83" spans="14:23" x14ac:dyDescent="0.25">
      <c r="N83">
        <v>36</v>
      </c>
      <c r="O83">
        <v>884</v>
      </c>
      <c r="P83">
        <v>27213</v>
      </c>
      <c r="Q83">
        <v>0</v>
      </c>
      <c r="R83">
        <v>10277</v>
      </c>
      <c r="S83">
        <v>-14850</v>
      </c>
      <c r="T83" s="13">
        <f t="shared" si="2"/>
        <v>22640</v>
      </c>
      <c r="W83">
        <f>R83/604.5</f>
        <v>17.000827129859388</v>
      </c>
    </row>
    <row r="84" spans="14:23" x14ac:dyDescent="0.25">
      <c r="N84">
        <v>37</v>
      </c>
      <c r="O84">
        <v>884</v>
      </c>
      <c r="P84">
        <v>27213</v>
      </c>
      <c r="Q84">
        <v>0</v>
      </c>
      <c r="S84">
        <v>-14850</v>
      </c>
      <c r="T84" s="13">
        <f t="shared" si="2"/>
        <v>12363</v>
      </c>
    </row>
    <row r="85" spans="14:23" x14ac:dyDescent="0.25">
      <c r="N85">
        <v>38</v>
      </c>
      <c r="O85">
        <v>884</v>
      </c>
      <c r="P85">
        <v>27213</v>
      </c>
      <c r="Q85">
        <v>0</v>
      </c>
      <c r="S85">
        <v>-14850</v>
      </c>
      <c r="T85" s="13">
        <f t="shared" si="2"/>
        <v>12363</v>
      </c>
    </row>
    <row r="86" spans="14:23" x14ac:dyDescent="0.25">
      <c r="N86">
        <v>39</v>
      </c>
      <c r="O86">
        <v>884</v>
      </c>
      <c r="P86">
        <v>27213</v>
      </c>
      <c r="Q86">
        <v>0</v>
      </c>
      <c r="S86">
        <v>-14850</v>
      </c>
      <c r="T86" s="13">
        <f t="shared" si="2"/>
        <v>12363</v>
      </c>
    </row>
    <row r="87" spans="14:23" x14ac:dyDescent="0.25">
      <c r="N87">
        <v>40</v>
      </c>
      <c r="O87">
        <v>884</v>
      </c>
      <c r="P87">
        <v>27213</v>
      </c>
      <c r="Q87">
        <v>0</v>
      </c>
      <c r="S87">
        <v>-14850</v>
      </c>
      <c r="T87" s="13">
        <f t="shared" si="2"/>
        <v>12363</v>
      </c>
    </row>
    <row r="88" spans="14:23" x14ac:dyDescent="0.25">
      <c r="N88">
        <v>41</v>
      </c>
      <c r="O88">
        <v>884</v>
      </c>
      <c r="P88">
        <v>27213</v>
      </c>
      <c r="Q88">
        <v>0</v>
      </c>
      <c r="S88">
        <v>-14850</v>
      </c>
      <c r="T88" s="13">
        <f t="shared" si="2"/>
        <v>12363</v>
      </c>
    </row>
    <row r="89" spans="14:23" x14ac:dyDescent="0.25">
      <c r="N89">
        <v>42</v>
      </c>
      <c r="O89">
        <v>884</v>
      </c>
      <c r="P89">
        <v>27213</v>
      </c>
      <c r="Q89">
        <v>0</v>
      </c>
      <c r="S89">
        <v>-14850</v>
      </c>
      <c r="T89" s="13">
        <f t="shared" si="2"/>
        <v>12363</v>
      </c>
    </row>
    <row r="90" spans="14:23" x14ac:dyDescent="0.25">
      <c r="N90">
        <v>43</v>
      </c>
      <c r="O90">
        <v>884</v>
      </c>
      <c r="P90">
        <v>27213</v>
      </c>
      <c r="Q90">
        <v>0</v>
      </c>
      <c r="S90">
        <v>-14850</v>
      </c>
      <c r="T90" s="13">
        <f t="shared" si="2"/>
        <v>12363</v>
      </c>
    </row>
    <row r="91" spans="14:23" x14ac:dyDescent="0.25">
      <c r="N91">
        <v>44</v>
      </c>
      <c r="O91">
        <v>884</v>
      </c>
      <c r="P91">
        <v>27213</v>
      </c>
      <c r="Q91">
        <v>0</v>
      </c>
      <c r="S91">
        <v>-14850</v>
      </c>
      <c r="T91" s="13">
        <f t="shared" si="2"/>
        <v>12363</v>
      </c>
    </row>
    <row r="92" spans="14:23" x14ac:dyDescent="0.25">
      <c r="N92">
        <v>45</v>
      </c>
      <c r="O92">
        <v>884</v>
      </c>
      <c r="P92">
        <v>27213</v>
      </c>
      <c r="Q92">
        <v>0</v>
      </c>
      <c r="S92">
        <v>-14850</v>
      </c>
      <c r="T92" s="13">
        <f t="shared" si="2"/>
        <v>12363</v>
      </c>
    </row>
    <row r="93" spans="14:23" x14ac:dyDescent="0.25">
      <c r="N93">
        <v>46</v>
      </c>
      <c r="O93">
        <v>884</v>
      </c>
      <c r="P93">
        <v>27213</v>
      </c>
      <c r="Q93">
        <v>0</v>
      </c>
      <c r="S93">
        <v>-14850</v>
      </c>
      <c r="T93" s="13">
        <f>P93+S93+Q93+R93</f>
        <v>12363</v>
      </c>
    </row>
    <row r="94" spans="14:23" x14ac:dyDescent="0.25">
      <c r="N94">
        <v>47</v>
      </c>
      <c r="O94">
        <v>884</v>
      </c>
      <c r="P94">
        <v>27213</v>
      </c>
      <c r="Q94">
        <v>0</v>
      </c>
      <c r="S94">
        <v>-14850</v>
      </c>
      <c r="T94" s="13">
        <f t="shared" si="2"/>
        <v>12363</v>
      </c>
    </row>
    <row r="95" spans="14:23" x14ac:dyDescent="0.25">
      <c r="N95">
        <v>48</v>
      </c>
      <c r="O95">
        <v>884</v>
      </c>
      <c r="P95">
        <v>27213</v>
      </c>
      <c r="Q95">
        <v>0</v>
      </c>
      <c r="S95">
        <v>-14850</v>
      </c>
      <c r="T95" s="13">
        <f t="shared" si="2"/>
        <v>12363</v>
      </c>
    </row>
    <row r="96" spans="14:23" x14ac:dyDescent="0.25">
      <c r="N96">
        <v>49</v>
      </c>
      <c r="O96">
        <v>884</v>
      </c>
      <c r="P96">
        <v>27213</v>
      </c>
      <c r="Q96">
        <v>0</v>
      </c>
      <c r="S96">
        <v>-14850</v>
      </c>
      <c r="T96" s="13">
        <f t="shared" si="2"/>
        <v>12363</v>
      </c>
    </row>
    <row r="97" spans="14:20" x14ac:dyDescent="0.25">
      <c r="N97">
        <v>50</v>
      </c>
      <c r="O97">
        <v>884</v>
      </c>
      <c r="P97">
        <v>27213</v>
      </c>
      <c r="Q97">
        <v>0</v>
      </c>
      <c r="S97">
        <v>-14850</v>
      </c>
      <c r="T97" s="13">
        <f t="shared" ref="T97:T117" si="4">P97+S97+Q97+R97</f>
        <v>12363</v>
      </c>
    </row>
    <row r="98" spans="14:20" x14ac:dyDescent="0.25">
      <c r="N98">
        <v>51</v>
      </c>
      <c r="O98">
        <v>884</v>
      </c>
      <c r="P98">
        <v>27213</v>
      </c>
      <c r="Q98">
        <v>0</v>
      </c>
      <c r="S98">
        <v>-14850</v>
      </c>
      <c r="T98" s="13">
        <f t="shared" si="4"/>
        <v>12363</v>
      </c>
    </row>
    <row r="99" spans="14:20" x14ac:dyDescent="0.25">
      <c r="N99">
        <v>52</v>
      </c>
      <c r="O99">
        <v>884</v>
      </c>
      <c r="P99">
        <v>27213</v>
      </c>
      <c r="Q99">
        <v>0</v>
      </c>
      <c r="S99">
        <v>-14850</v>
      </c>
      <c r="T99" s="13">
        <f t="shared" si="4"/>
        <v>12363</v>
      </c>
    </row>
    <row r="100" spans="14:20" x14ac:dyDescent="0.25">
      <c r="N100">
        <v>53</v>
      </c>
      <c r="O100">
        <v>884</v>
      </c>
      <c r="P100">
        <v>27213</v>
      </c>
      <c r="Q100">
        <v>0</v>
      </c>
      <c r="S100">
        <v>-14850</v>
      </c>
      <c r="T100" s="13">
        <f t="shared" si="4"/>
        <v>12363</v>
      </c>
    </row>
    <row r="101" spans="14:20" x14ac:dyDescent="0.25">
      <c r="N101">
        <v>54</v>
      </c>
      <c r="O101">
        <v>884</v>
      </c>
      <c r="P101">
        <v>27213</v>
      </c>
      <c r="Q101">
        <v>0</v>
      </c>
      <c r="S101">
        <v>-14850</v>
      </c>
      <c r="T101" s="13">
        <f t="shared" si="4"/>
        <v>12363</v>
      </c>
    </row>
    <row r="102" spans="14:20" x14ac:dyDescent="0.25">
      <c r="N102">
        <v>55</v>
      </c>
      <c r="O102">
        <v>884</v>
      </c>
      <c r="P102">
        <v>27213</v>
      </c>
      <c r="Q102">
        <v>0</v>
      </c>
      <c r="S102">
        <v>-14850</v>
      </c>
      <c r="T102" s="13">
        <f t="shared" si="4"/>
        <v>12363</v>
      </c>
    </row>
    <row r="103" spans="14:20" x14ac:dyDescent="0.25">
      <c r="N103">
        <v>56</v>
      </c>
      <c r="O103">
        <v>884</v>
      </c>
      <c r="P103">
        <v>27213</v>
      </c>
      <c r="Q103">
        <v>0</v>
      </c>
      <c r="S103">
        <v>-14850</v>
      </c>
      <c r="T103" s="13">
        <f t="shared" si="4"/>
        <v>12363</v>
      </c>
    </row>
    <row r="104" spans="14:20" x14ac:dyDescent="0.25">
      <c r="N104">
        <v>57</v>
      </c>
      <c r="O104">
        <v>884</v>
      </c>
      <c r="P104">
        <v>27213</v>
      </c>
      <c r="Q104">
        <v>0</v>
      </c>
      <c r="S104">
        <v>-14850</v>
      </c>
      <c r="T104" s="13">
        <f t="shared" si="4"/>
        <v>12363</v>
      </c>
    </row>
    <row r="105" spans="14:20" x14ac:dyDescent="0.25">
      <c r="N105">
        <v>58</v>
      </c>
      <c r="O105">
        <v>884</v>
      </c>
      <c r="P105">
        <v>27213</v>
      </c>
      <c r="Q105">
        <v>0</v>
      </c>
      <c r="S105">
        <v>-14850</v>
      </c>
      <c r="T105" s="13">
        <f t="shared" si="4"/>
        <v>12363</v>
      </c>
    </row>
    <row r="106" spans="14:20" x14ac:dyDescent="0.25">
      <c r="N106">
        <v>59</v>
      </c>
      <c r="O106">
        <v>884</v>
      </c>
      <c r="P106">
        <v>27213</v>
      </c>
      <c r="Q106">
        <v>0</v>
      </c>
      <c r="S106">
        <v>-14850</v>
      </c>
      <c r="T106" s="13">
        <f t="shared" si="4"/>
        <v>12363</v>
      </c>
    </row>
    <row r="107" spans="14:20" x14ac:dyDescent="0.25">
      <c r="N107">
        <v>60</v>
      </c>
      <c r="O107">
        <v>884</v>
      </c>
      <c r="P107">
        <v>27213</v>
      </c>
      <c r="Q107">
        <v>0</v>
      </c>
      <c r="S107">
        <v>-14850</v>
      </c>
      <c r="T107" s="13">
        <f t="shared" si="4"/>
        <v>12363</v>
      </c>
    </row>
    <row r="108" spans="14:20" x14ac:dyDescent="0.25">
      <c r="N108">
        <v>61</v>
      </c>
      <c r="O108">
        <v>884</v>
      </c>
      <c r="P108">
        <v>27213</v>
      </c>
      <c r="Q108">
        <v>0</v>
      </c>
      <c r="S108">
        <v>-14850</v>
      </c>
      <c r="T108" s="13">
        <f t="shared" si="4"/>
        <v>12363</v>
      </c>
    </row>
    <row r="109" spans="14:20" x14ac:dyDescent="0.25">
      <c r="N109">
        <v>62</v>
      </c>
      <c r="O109">
        <v>884</v>
      </c>
      <c r="P109">
        <v>27213</v>
      </c>
      <c r="Q109">
        <v>0</v>
      </c>
      <c r="S109">
        <v>-14850</v>
      </c>
      <c r="T109" s="13">
        <f t="shared" si="4"/>
        <v>12363</v>
      </c>
    </row>
    <row r="110" spans="14:20" x14ac:dyDescent="0.25">
      <c r="N110">
        <v>63</v>
      </c>
      <c r="O110">
        <v>884</v>
      </c>
      <c r="P110">
        <v>27213</v>
      </c>
      <c r="Q110">
        <v>0</v>
      </c>
      <c r="S110">
        <v>-14850</v>
      </c>
      <c r="T110" s="13">
        <f t="shared" si="4"/>
        <v>12363</v>
      </c>
    </row>
    <row r="111" spans="14:20" x14ac:dyDescent="0.25">
      <c r="N111">
        <v>64</v>
      </c>
      <c r="O111">
        <v>884</v>
      </c>
      <c r="P111">
        <v>27213</v>
      </c>
      <c r="Q111">
        <v>0</v>
      </c>
      <c r="S111">
        <v>-14850</v>
      </c>
      <c r="T111" s="13">
        <f t="shared" si="4"/>
        <v>12363</v>
      </c>
    </row>
    <row r="112" spans="14:20" x14ac:dyDescent="0.25">
      <c r="N112">
        <v>65</v>
      </c>
      <c r="O112">
        <v>884</v>
      </c>
      <c r="P112">
        <v>27213</v>
      </c>
      <c r="Q112">
        <v>0</v>
      </c>
      <c r="S112">
        <v>-14850</v>
      </c>
      <c r="T112" s="13">
        <f t="shared" si="4"/>
        <v>12363</v>
      </c>
    </row>
    <row r="113" spans="14:23" x14ac:dyDescent="0.25">
      <c r="N113">
        <v>66</v>
      </c>
      <c r="O113">
        <v>884</v>
      </c>
      <c r="P113">
        <v>27213</v>
      </c>
      <c r="Q113">
        <v>0</v>
      </c>
      <c r="S113">
        <v>-14850</v>
      </c>
      <c r="T113" s="13">
        <f t="shared" si="4"/>
        <v>12363</v>
      </c>
    </row>
    <row r="114" spans="14:23" x14ac:dyDescent="0.25">
      <c r="N114">
        <v>67</v>
      </c>
      <c r="O114">
        <v>884</v>
      </c>
      <c r="P114">
        <v>27213</v>
      </c>
      <c r="Q114">
        <v>0</v>
      </c>
      <c r="S114">
        <v>-14850</v>
      </c>
      <c r="T114" s="13">
        <f t="shared" si="4"/>
        <v>12363</v>
      </c>
    </row>
    <row r="115" spans="14:23" x14ac:dyDescent="0.25">
      <c r="N115">
        <v>68</v>
      </c>
      <c r="O115">
        <v>884</v>
      </c>
      <c r="P115">
        <v>27213</v>
      </c>
      <c r="Q115">
        <v>0</v>
      </c>
      <c r="S115">
        <v>-14850</v>
      </c>
      <c r="T115" s="13">
        <f t="shared" si="4"/>
        <v>12363</v>
      </c>
    </row>
    <row r="116" spans="14:23" x14ac:dyDescent="0.25">
      <c r="N116">
        <v>69</v>
      </c>
      <c r="O116">
        <v>884</v>
      </c>
      <c r="P116">
        <v>27213</v>
      </c>
      <c r="Q116">
        <v>0</v>
      </c>
      <c r="S116">
        <v>-14850</v>
      </c>
      <c r="T116" s="13">
        <f t="shared" si="4"/>
        <v>12363</v>
      </c>
    </row>
    <row r="117" spans="14:23" x14ac:dyDescent="0.25">
      <c r="N117">
        <v>70</v>
      </c>
      <c r="O117">
        <v>884</v>
      </c>
      <c r="P117">
        <v>27213</v>
      </c>
      <c r="Q117">
        <v>0</v>
      </c>
      <c r="R117">
        <v>20555</v>
      </c>
      <c r="S117">
        <v>-14850</v>
      </c>
      <c r="T117" s="13">
        <f t="shared" si="4"/>
        <v>32918</v>
      </c>
      <c r="W117">
        <f>R117/604.5</f>
        <v>34.003308519437553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37"/>
  <sheetViews>
    <sheetView zoomScale="85" zoomScaleNormal="85" workbookViewId="0">
      <pane ySplit="1" topLeftCell="A2" activePane="bottomLeft" state="frozen"/>
      <selection pane="bottomLeft" activeCell="L34" sqref="L34"/>
    </sheetView>
  </sheetViews>
  <sheetFormatPr defaultRowHeight="18.75" customHeight="1" x14ac:dyDescent="0.25"/>
  <cols>
    <col min="1" max="1" width="15.5703125" customWidth="1"/>
    <col min="2" max="8" width="3.140625" customWidth="1"/>
    <col min="9" max="9" width="3.140625" style="1" customWidth="1"/>
    <col min="10" max="14" width="5.7109375" style="24" customWidth="1"/>
    <col min="15" max="19" width="5.7109375" style="25" customWidth="1"/>
    <col min="20" max="24" width="5.7109375" style="24" customWidth="1"/>
    <col min="25" max="29" width="5.7109375" style="25" customWidth="1"/>
    <col min="30" max="34" width="5.7109375" style="24" customWidth="1"/>
    <col min="35" max="39" width="5.7109375" style="25" customWidth="1"/>
    <col min="40" max="44" width="5.7109375" style="24" customWidth="1"/>
    <col min="45" max="45" width="5.7109375" style="25" customWidth="1"/>
    <col min="46" max="48" width="3.7109375" customWidth="1"/>
  </cols>
  <sheetData>
    <row r="1" spans="1:46" ht="18.75" customHeight="1" x14ac:dyDescent="0.25">
      <c r="A1" s="21"/>
      <c r="B1" s="21"/>
      <c r="C1" s="21"/>
      <c r="D1" s="21"/>
      <c r="E1" s="21"/>
      <c r="F1" s="21"/>
      <c r="G1" s="21"/>
      <c r="H1" s="21"/>
      <c r="I1" s="22"/>
      <c r="J1" s="24">
        <v>1</v>
      </c>
      <c r="K1" s="24">
        <v>2</v>
      </c>
      <c r="L1" s="24">
        <v>3</v>
      </c>
      <c r="M1" s="24">
        <v>4</v>
      </c>
      <c r="N1" s="24">
        <v>5</v>
      </c>
      <c r="O1" s="25">
        <v>6</v>
      </c>
      <c r="P1" s="25">
        <v>7</v>
      </c>
      <c r="Q1" s="25">
        <v>8</v>
      </c>
      <c r="R1" s="25">
        <v>9</v>
      </c>
      <c r="S1" s="25">
        <v>10</v>
      </c>
      <c r="T1" s="24">
        <v>11</v>
      </c>
      <c r="U1" s="24">
        <v>12</v>
      </c>
      <c r="V1" s="24">
        <v>13</v>
      </c>
      <c r="W1" s="24">
        <v>14</v>
      </c>
      <c r="X1" s="24">
        <v>15</v>
      </c>
      <c r="Y1" s="25">
        <v>16</v>
      </c>
      <c r="Z1" s="25">
        <v>17</v>
      </c>
      <c r="AA1" s="25">
        <v>18</v>
      </c>
      <c r="AB1" s="25">
        <v>19</v>
      </c>
      <c r="AC1" s="25">
        <v>20</v>
      </c>
      <c r="AD1" s="24">
        <v>21</v>
      </c>
      <c r="AE1" s="24">
        <v>22</v>
      </c>
      <c r="AF1" s="24">
        <v>23</v>
      </c>
      <c r="AG1" s="24">
        <v>24</v>
      </c>
      <c r="AH1" s="24">
        <v>25</v>
      </c>
      <c r="AI1" s="25">
        <v>26</v>
      </c>
      <c r="AJ1" s="25">
        <v>27</v>
      </c>
      <c r="AK1" s="25">
        <v>28</v>
      </c>
      <c r="AL1" s="25">
        <v>29</v>
      </c>
      <c r="AM1" s="25">
        <v>30</v>
      </c>
      <c r="AN1" s="24">
        <v>31</v>
      </c>
      <c r="AO1" s="24">
        <v>32</v>
      </c>
      <c r="AP1" s="24">
        <v>33</v>
      </c>
      <c r="AQ1" s="24">
        <v>34</v>
      </c>
      <c r="AR1" s="24">
        <v>35</v>
      </c>
      <c r="AS1" s="25">
        <v>36</v>
      </c>
      <c r="AT1" s="21"/>
    </row>
    <row r="2" spans="1:46" ht="18.75" customHeight="1" x14ac:dyDescent="0.25">
      <c r="A2" s="21" t="s">
        <v>185</v>
      </c>
      <c r="B2" s="21" t="s">
        <v>354</v>
      </c>
      <c r="C2" s="21" t="s">
        <v>187</v>
      </c>
      <c r="D2" s="21" t="s">
        <v>184</v>
      </c>
      <c r="E2" s="23" t="s">
        <v>10</v>
      </c>
      <c r="F2" s="23" t="s">
        <v>11</v>
      </c>
      <c r="G2" s="23" t="s">
        <v>12</v>
      </c>
      <c r="H2" s="21" t="s">
        <v>175</v>
      </c>
      <c r="I2" s="22"/>
      <c r="AT2" s="21"/>
    </row>
    <row r="3" spans="1:46" s="6" customFormat="1" ht="18.75" customHeight="1" x14ac:dyDescent="0.3">
      <c r="A3" s="6" t="s">
        <v>153</v>
      </c>
      <c r="B3" s="6">
        <v>8</v>
      </c>
      <c r="C3" s="6" t="s">
        <v>22</v>
      </c>
      <c r="D3" s="6" t="s">
        <v>176</v>
      </c>
      <c r="E3" s="6">
        <v>3</v>
      </c>
      <c r="F3" s="6">
        <v>32</v>
      </c>
      <c r="G3" s="6">
        <v>6</v>
      </c>
      <c r="H3" s="6">
        <f>E3+F3+G3</f>
        <v>41</v>
      </c>
      <c r="I3" s="7" t="s">
        <v>155</v>
      </c>
      <c r="J3" s="38" t="s">
        <v>353</v>
      </c>
      <c r="K3" s="38" t="s">
        <v>353</v>
      </c>
      <c r="L3" s="38" t="s">
        <v>353</v>
      </c>
      <c r="M3" s="38" t="s">
        <v>353</v>
      </c>
      <c r="N3" s="38" t="s">
        <v>353</v>
      </c>
      <c r="O3" s="38" t="s">
        <v>353</v>
      </c>
      <c r="P3" s="38" t="s">
        <v>353</v>
      </c>
      <c r="Q3" s="38" t="s">
        <v>353</v>
      </c>
      <c r="R3" s="38" t="s">
        <v>353</v>
      </c>
      <c r="S3" s="38" t="s">
        <v>353</v>
      </c>
      <c r="T3" s="12" t="s">
        <v>548</v>
      </c>
      <c r="U3" s="26" t="s">
        <v>353</v>
      </c>
      <c r="V3" s="26" t="s">
        <v>353</v>
      </c>
      <c r="W3" s="26" t="s">
        <v>353</v>
      </c>
      <c r="X3" s="26" t="s">
        <v>353</v>
      </c>
      <c r="Y3" s="27" t="s">
        <v>353</v>
      </c>
      <c r="Z3" s="27" t="s">
        <v>353</v>
      </c>
      <c r="AA3" s="27" t="s">
        <v>353</v>
      </c>
      <c r="AB3" s="27" t="s">
        <v>353</v>
      </c>
      <c r="AC3" s="12" t="s">
        <v>547</v>
      </c>
      <c r="AD3" s="26" t="s">
        <v>353</v>
      </c>
      <c r="AE3" s="26" t="s">
        <v>353</v>
      </c>
      <c r="AF3" s="12" t="s">
        <v>546</v>
      </c>
      <c r="AG3" s="26" t="s">
        <v>370</v>
      </c>
      <c r="AH3" s="26" t="s">
        <v>372</v>
      </c>
      <c r="AI3" s="27" t="s">
        <v>371</v>
      </c>
      <c r="AJ3" s="27" t="s">
        <v>353</v>
      </c>
      <c r="AK3" s="28" t="s">
        <v>468</v>
      </c>
      <c r="AL3" s="28" t="s">
        <v>465</v>
      </c>
      <c r="AM3" s="12" t="s">
        <v>545</v>
      </c>
      <c r="AN3" s="26" t="s">
        <v>353</v>
      </c>
      <c r="AO3" s="26" t="s">
        <v>353</v>
      </c>
      <c r="AP3" s="29" t="s">
        <v>440</v>
      </c>
      <c r="AQ3" s="26" t="s">
        <v>353</v>
      </c>
      <c r="AR3" s="26" t="s">
        <v>353</v>
      </c>
      <c r="AS3" s="27" t="s">
        <v>353</v>
      </c>
      <c r="AT3" s="6" t="str">
        <f t="shared" ref="AT3:AT12" si="0">A3</f>
        <v>41-я танковая</v>
      </c>
    </row>
    <row r="4" spans="1:46" s="6" customFormat="1" ht="18.75" customHeight="1" x14ac:dyDescent="0.3">
      <c r="A4" s="6" t="s">
        <v>165</v>
      </c>
      <c r="B4" s="6">
        <v>8</v>
      </c>
      <c r="C4" s="6" t="s">
        <v>23</v>
      </c>
      <c r="D4" s="6" t="s">
        <v>176</v>
      </c>
      <c r="E4" s="6">
        <v>1</v>
      </c>
      <c r="F4" s="6">
        <v>27</v>
      </c>
      <c r="G4" s="6">
        <v>9</v>
      </c>
      <c r="H4" s="6">
        <f>E4+F4+G4</f>
        <v>37</v>
      </c>
      <c r="I4" s="7" t="s">
        <v>166</v>
      </c>
      <c r="J4" s="38" t="s">
        <v>353</v>
      </c>
      <c r="K4" s="38" t="s">
        <v>353</v>
      </c>
      <c r="L4" s="38" t="s">
        <v>353</v>
      </c>
      <c r="M4" s="38" t="s">
        <v>353</v>
      </c>
      <c r="N4" s="38" t="s">
        <v>353</v>
      </c>
      <c r="O4" s="38" t="s">
        <v>353</v>
      </c>
      <c r="P4" s="38" t="s">
        <v>353</v>
      </c>
      <c r="Q4" s="38" t="s">
        <v>353</v>
      </c>
      <c r="R4" s="38" t="s">
        <v>353</v>
      </c>
      <c r="S4" s="38" t="s">
        <v>353</v>
      </c>
      <c r="T4" s="41" t="s">
        <v>353</v>
      </c>
      <c r="U4" s="26" t="s">
        <v>353</v>
      </c>
      <c r="V4" s="26" t="s">
        <v>353</v>
      </c>
      <c r="W4" s="26" t="s">
        <v>353</v>
      </c>
      <c r="X4" s="26" t="s">
        <v>353</v>
      </c>
      <c r="Y4" s="27" t="s">
        <v>353</v>
      </c>
      <c r="Z4" s="27" t="s">
        <v>353</v>
      </c>
      <c r="AA4" s="27" t="s">
        <v>353</v>
      </c>
      <c r="AB4" s="27" t="s">
        <v>353</v>
      </c>
      <c r="AC4" s="28" t="s">
        <v>461</v>
      </c>
      <c r="AD4" s="26" t="s">
        <v>353</v>
      </c>
      <c r="AE4" s="26" t="s">
        <v>353</v>
      </c>
      <c r="AF4" s="29" t="s">
        <v>432</v>
      </c>
      <c r="AG4" s="26" t="s">
        <v>353</v>
      </c>
      <c r="AH4" s="26" t="s">
        <v>353</v>
      </c>
      <c r="AI4" s="27" t="s">
        <v>374</v>
      </c>
      <c r="AJ4" s="27" t="s">
        <v>373</v>
      </c>
      <c r="AK4" s="27" t="s">
        <v>353</v>
      </c>
      <c r="AL4" s="27" t="s">
        <v>353</v>
      </c>
      <c r="AM4" s="12"/>
      <c r="AN4" s="26" t="s">
        <v>353</v>
      </c>
      <c r="AO4" s="26" t="s">
        <v>353</v>
      </c>
      <c r="AP4" s="26" t="s">
        <v>353</v>
      </c>
      <c r="AQ4" s="26" t="s">
        <v>353</v>
      </c>
      <c r="AR4" s="26" t="s">
        <v>353</v>
      </c>
      <c r="AS4" s="27" t="s">
        <v>353</v>
      </c>
      <c r="AT4" s="6" t="str">
        <f t="shared" si="0"/>
        <v>4-я дивизия</v>
      </c>
    </row>
    <row r="5" spans="1:46" s="6" customFormat="1" ht="18.75" customHeight="1" x14ac:dyDescent="0.25">
      <c r="A5" s="6" t="s">
        <v>152</v>
      </c>
      <c r="B5" s="6">
        <v>8</v>
      </c>
      <c r="C5" s="6" t="s">
        <v>21</v>
      </c>
      <c r="D5" s="6" t="s">
        <v>176</v>
      </c>
      <c r="E5" s="6">
        <v>2</v>
      </c>
      <c r="F5" s="6">
        <v>35</v>
      </c>
      <c r="G5" s="6">
        <v>7</v>
      </c>
      <c r="H5" s="6">
        <f>E5+F5+G5</f>
        <v>44</v>
      </c>
      <c r="I5" s="7" t="s">
        <v>154</v>
      </c>
      <c r="J5" s="38" t="s">
        <v>353</v>
      </c>
      <c r="K5" s="38" t="s">
        <v>353</v>
      </c>
      <c r="L5" s="38" t="s">
        <v>353</v>
      </c>
      <c r="M5" s="38" t="s">
        <v>353</v>
      </c>
      <c r="N5" s="38" t="s">
        <v>353</v>
      </c>
      <c r="O5" s="38" t="s">
        <v>353</v>
      </c>
      <c r="P5" s="38" t="s">
        <v>353</v>
      </c>
      <c r="Q5" s="38" t="s">
        <v>353</v>
      </c>
      <c r="R5" s="38" t="s">
        <v>353</v>
      </c>
      <c r="S5" s="38" t="s">
        <v>353</v>
      </c>
      <c r="T5" s="41" t="s">
        <v>353</v>
      </c>
      <c r="U5" s="26" t="s">
        <v>353</v>
      </c>
      <c r="V5" s="26" t="s">
        <v>353</v>
      </c>
      <c r="W5" s="26" t="s">
        <v>353</v>
      </c>
      <c r="X5" s="26" t="s">
        <v>353</v>
      </c>
      <c r="Y5" s="27" t="s">
        <v>353</v>
      </c>
      <c r="Z5" s="27" t="s">
        <v>353</v>
      </c>
      <c r="AA5" s="28" t="s">
        <v>486</v>
      </c>
      <c r="AB5" s="27" t="s">
        <v>353</v>
      </c>
      <c r="AC5" s="27" t="s">
        <v>353</v>
      </c>
      <c r="AD5" s="26" t="s">
        <v>353</v>
      </c>
      <c r="AE5" s="26" t="s">
        <v>353</v>
      </c>
      <c r="AF5" s="26" t="s">
        <v>353</v>
      </c>
      <c r="AG5" s="26" t="s">
        <v>353</v>
      </c>
      <c r="AH5" s="26" t="s">
        <v>353</v>
      </c>
      <c r="AI5" s="27" t="s">
        <v>353</v>
      </c>
      <c r="AJ5" s="27" t="s">
        <v>353</v>
      </c>
      <c r="AK5" s="27" t="s">
        <v>353</v>
      </c>
      <c r="AL5" s="27" t="s">
        <v>353</v>
      </c>
      <c r="AM5" s="27" t="s">
        <v>353</v>
      </c>
      <c r="AN5" s="26" t="s">
        <v>353</v>
      </c>
      <c r="AO5" s="28" t="s">
        <v>445</v>
      </c>
      <c r="AP5" s="26" t="s">
        <v>353</v>
      </c>
      <c r="AQ5" s="26" t="s">
        <v>353</v>
      </c>
      <c r="AR5" s="26" t="s">
        <v>353</v>
      </c>
      <c r="AT5" s="6" t="str">
        <f t="shared" si="0"/>
        <v>60-я танковая</v>
      </c>
    </row>
    <row r="6" spans="1:46" s="8" customFormat="1" ht="18.75" customHeight="1" x14ac:dyDescent="0.3">
      <c r="A6" s="8" t="s">
        <v>178</v>
      </c>
      <c r="B6" s="8">
        <v>8</v>
      </c>
      <c r="C6" s="8" t="s">
        <v>23</v>
      </c>
      <c r="D6" s="8" t="s">
        <v>177</v>
      </c>
      <c r="E6" s="8">
        <v>2</v>
      </c>
      <c r="F6" s="8">
        <v>27</v>
      </c>
      <c r="G6" s="8">
        <v>7</v>
      </c>
      <c r="H6" s="8">
        <f>E6+F6+G6</f>
        <v>36</v>
      </c>
      <c r="I6" s="9" t="s">
        <v>138</v>
      </c>
      <c r="J6" s="39" t="s">
        <v>353</v>
      </c>
      <c r="K6" s="39" t="s">
        <v>353</v>
      </c>
      <c r="L6" s="39" t="s">
        <v>353</v>
      </c>
      <c r="M6" s="39" t="s">
        <v>353</v>
      </c>
      <c r="N6" s="39" t="s">
        <v>353</v>
      </c>
      <c r="O6" s="39" t="s">
        <v>353</v>
      </c>
      <c r="P6" s="39" t="s">
        <v>353</v>
      </c>
      <c r="Q6" s="39" t="s">
        <v>353</v>
      </c>
      <c r="R6" s="39" t="s">
        <v>353</v>
      </c>
      <c r="S6" s="39" t="s">
        <v>353</v>
      </c>
      <c r="T6" s="42" t="s">
        <v>353</v>
      </c>
      <c r="U6" s="30" t="s">
        <v>353</v>
      </c>
      <c r="V6" s="30" t="s">
        <v>353</v>
      </c>
      <c r="W6" s="30" t="s">
        <v>353</v>
      </c>
      <c r="X6" s="30" t="s">
        <v>353</v>
      </c>
      <c r="Y6" s="31" t="s">
        <v>353</v>
      </c>
      <c r="Z6" s="31" t="s">
        <v>353</v>
      </c>
      <c r="AA6" s="31" t="s">
        <v>353</v>
      </c>
      <c r="AB6" s="31" t="s">
        <v>353</v>
      </c>
      <c r="AC6" s="31" t="s">
        <v>353</v>
      </c>
      <c r="AD6" s="30" t="s">
        <v>353</v>
      </c>
      <c r="AE6" s="30" t="s">
        <v>353</v>
      </c>
      <c r="AF6" s="12" t="s">
        <v>556</v>
      </c>
      <c r="AG6" s="30" t="s">
        <v>353</v>
      </c>
      <c r="AH6" s="30" t="s">
        <v>353</v>
      </c>
      <c r="AI6" s="31" t="s">
        <v>353</v>
      </c>
      <c r="AJ6" s="30" t="s">
        <v>428</v>
      </c>
      <c r="AK6" s="28" t="s">
        <v>481</v>
      </c>
      <c r="AL6" s="31" t="s">
        <v>353</v>
      </c>
      <c r="AM6" s="28" t="s">
        <v>480</v>
      </c>
      <c r="AN6" s="30" t="s">
        <v>353</v>
      </c>
      <c r="AO6" s="30" t="s">
        <v>353</v>
      </c>
      <c r="AP6" s="30" t="s">
        <v>439</v>
      </c>
      <c r="AQ6" s="30" t="s">
        <v>353</v>
      </c>
      <c r="AR6" s="30" t="s">
        <v>353</v>
      </c>
      <c r="AS6" s="12" t="s">
        <v>538</v>
      </c>
      <c r="AT6" s="8" t="str">
        <f t="shared" si="0"/>
        <v>PzD Clausewitz</v>
      </c>
    </row>
    <row r="7" spans="1:46" s="8" customFormat="1" ht="18.75" customHeight="1" x14ac:dyDescent="0.25">
      <c r="A7" s="8" t="s">
        <v>180</v>
      </c>
      <c r="B7" s="8">
        <v>8</v>
      </c>
      <c r="C7" s="8" t="s">
        <v>21</v>
      </c>
      <c r="D7" s="8" t="s">
        <v>177</v>
      </c>
      <c r="E7" s="8">
        <v>3</v>
      </c>
      <c r="F7" s="8">
        <v>31</v>
      </c>
      <c r="G7" s="8">
        <v>7</v>
      </c>
      <c r="H7" s="8">
        <f>E7+F7+G7</f>
        <v>41</v>
      </c>
      <c r="I7" s="9" t="s">
        <v>167</v>
      </c>
      <c r="J7" s="39" t="s">
        <v>353</v>
      </c>
      <c r="K7" s="39" t="s">
        <v>353</v>
      </c>
      <c r="L7" s="39" t="s">
        <v>353</v>
      </c>
      <c r="M7" s="39" t="s">
        <v>353</v>
      </c>
      <c r="N7" s="39" t="s">
        <v>353</v>
      </c>
      <c r="O7" s="39" t="s">
        <v>353</v>
      </c>
      <c r="P7" s="39" t="s">
        <v>353</v>
      </c>
      <c r="Q7" s="39" t="s">
        <v>353</v>
      </c>
      <c r="R7" s="39" t="s">
        <v>353</v>
      </c>
      <c r="S7" s="39" t="s">
        <v>353</v>
      </c>
      <c r="T7" s="42" t="s">
        <v>353</v>
      </c>
      <c r="U7" s="30" t="s">
        <v>353</v>
      </c>
      <c r="V7" s="30" t="s">
        <v>353</v>
      </c>
      <c r="W7" s="30" t="s">
        <v>353</v>
      </c>
      <c r="X7" s="30" t="s">
        <v>353</v>
      </c>
      <c r="Y7" s="31" t="s">
        <v>353</v>
      </c>
      <c r="Z7" s="31" t="s">
        <v>353</v>
      </c>
      <c r="AA7" s="31" t="s">
        <v>353</v>
      </c>
      <c r="AB7" s="31" t="s">
        <v>353</v>
      </c>
      <c r="AC7" s="31" t="s">
        <v>353</v>
      </c>
      <c r="AD7" s="30" t="s">
        <v>353</v>
      </c>
      <c r="AE7" s="30" t="s">
        <v>353</v>
      </c>
      <c r="AG7" s="30" t="s">
        <v>353</v>
      </c>
      <c r="AH7" s="30" t="s">
        <v>353</v>
      </c>
      <c r="AI7" s="31" t="s">
        <v>353</v>
      </c>
      <c r="AJ7" s="31" t="s">
        <v>353</v>
      </c>
      <c r="AK7" s="31" t="s">
        <v>353</v>
      </c>
      <c r="AL7" s="31" t="s">
        <v>353</v>
      </c>
      <c r="AM7" s="31" t="s">
        <v>353</v>
      </c>
      <c r="AN7" s="30" t="s">
        <v>353</v>
      </c>
      <c r="AO7" s="30" t="s">
        <v>447</v>
      </c>
      <c r="AP7" s="30" t="s">
        <v>353</v>
      </c>
      <c r="AQ7" s="30" t="s">
        <v>353</v>
      </c>
      <c r="AR7" s="30" t="s">
        <v>353</v>
      </c>
      <c r="AS7" s="30" t="s">
        <v>443</v>
      </c>
      <c r="AT7" s="8" t="str">
        <f t="shared" si="0"/>
        <v>PzD Holstein</v>
      </c>
    </row>
    <row r="8" spans="1:46" s="8" customFormat="1" ht="18.75" customHeight="1" x14ac:dyDescent="0.25">
      <c r="I8" s="9"/>
      <c r="J8" s="39" t="s">
        <v>353</v>
      </c>
      <c r="K8" s="39" t="s">
        <v>353</v>
      </c>
      <c r="L8" s="39" t="s">
        <v>353</v>
      </c>
      <c r="M8" s="39" t="s">
        <v>353</v>
      </c>
      <c r="N8" s="39" t="s">
        <v>353</v>
      </c>
      <c r="O8" s="39" t="s">
        <v>353</v>
      </c>
      <c r="P8" s="39" t="s">
        <v>353</v>
      </c>
      <c r="Q8" s="39" t="s">
        <v>353</v>
      </c>
      <c r="R8" s="39" t="s">
        <v>353</v>
      </c>
      <c r="S8" s="39" t="s">
        <v>353</v>
      </c>
      <c r="T8" s="42" t="s">
        <v>353</v>
      </c>
      <c r="U8" s="30" t="s">
        <v>353</v>
      </c>
      <c r="V8" s="30" t="s">
        <v>353</v>
      </c>
      <c r="W8" s="30" t="s">
        <v>353</v>
      </c>
      <c r="X8" s="30" t="s">
        <v>353</v>
      </c>
      <c r="Y8" s="31" t="s">
        <v>353</v>
      </c>
      <c r="Z8" s="31" t="s">
        <v>353</v>
      </c>
      <c r="AA8" s="31" t="s">
        <v>353</v>
      </c>
      <c r="AB8" s="31" t="s">
        <v>353</v>
      </c>
      <c r="AC8" s="31" t="s">
        <v>353</v>
      </c>
      <c r="AD8" s="30" t="s">
        <v>353</v>
      </c>
      <c r="AE8" s="30" t="s">
        <v>353</v>
      </c>
      <c r="AF8" s="30" t="s">
        <v>353</v>
      </c>
      <c r="AG8" s="30" t="s">
        <v>353</v>
      </c>
      <c r="AH8" s="30" t="s">
        <v>353</v>
      </c>
      <c r="AI8" s="31" t="s">
        <v>353</v>
      </c>
      <c r="AJ8" s="31" t="s">
        <v>353</v>
      </c>
      <c r="AK8" s="31" t="s">
        <v>353</v>
      </c>
      <c r="AL8" s="31" t="s">
        <v>353</v>
      </c>
      <c r="AM8" s="31" t="s">
        <v>353</v>
      </c>
      <c r="AN8" s="30" t="s">
        <v>353</v>
      </c>
      <c r="AO8" s="28" t="s">
        <v>453</v>
      </c>
      <c r="AP8" s="30" t="s">
        <v>353</v>
      </c>
      <c r="AQ8" s="30" t="s">
        <v>353</v>
      </c>
      <c r="AR8" s="30" t="s">
        <v>353</v>
      </c>
      <c r="AS8" s="28" t="s">
        <v>495</v>
      </c>
      <c r="AT8" s="8">
        <f t="shared" si="0"/>
        <v>0</v>
      </c>
    </row>
    <row r="9" spans="1:46" s="8" customFormat="1" ht="18.75" customHeight="1" x14ac:dyDescent="0.25">
      <c r="A9" s="8" t="s">
        <v>179</v>
      </c>
      <c r="B9" s="8">
        <v>8</v>
      </c>
      <c r="C9" s="8" t="s">
        <v>22</v>
      </c>
      <c r="D9" s="8" t="s">
        <v>177</v>
      </c>
      <c r="E9" s="8">
        <v>3</v>
      </c>
      <c r="F9" s="8">
        <v>30</v>
      </c>
      <c r="G9" s="8">
        <v>5</v>
      </c>
      <c r="H9" s="8">
        <f>E9+F9+G9</f>
        <v>38</v>
      </c>
      <c r="I9" s="9" t="s">
        <v>168</v>
      </c>
      <c r="J9" s="39" t="s">
        <v>353</v>
      </c>
      <c r="K9" s="39" t="s">
        <v>353</v>
      </c>
      <c r="L9" s="39" t="s">
        <v>353</v>
      </c>
      <c r="M9" s="39" t="s">
        <v>353</v>
      </c>
      <c r="N9" s="39" t="s">
        <v>353</v>
      </c>
      <c r="O9" s="39" t="s">
        <v>353</v>
      </c>
      <c r="P9" s="39" t="s">
        <v>353</v>
      </c>
      <c r="Q9" s="39" t="s">
        <v>353</v>
      </c>
      <c r="R9" s="39" t="s">
        <v>353</v>
      </c>
      <c r="S9" s="39" t="s">
        <v>353</v>
      </c>
      <c r="T9" s="42" t="s">
        <v>353</v>
      </c>
      <c r="U9" s="30" t="s">
        <v>353</v>
      </c>
      <c r="V9" s="30" t="s">
        <v>353</v>
      </c>
      <c r="W9" s="30" t="s">
        <v>353</v>
      </c>
      <c r="X9" s="30" t="s">
        <v>353</v>
      </c>
      <c r="Y9" s="31" t="s">
        <v>353</v>
      </c>
      <c r="Z9" s="31" t="s">
        <v>353</v>
      </c>
      <c r="AA9" s="31" t="s">
        <v>353</v>
      </c>
      <c r="AB9" s="31" t="s">
        <v>353</v>
      </c>
      <c r="AC9" s="31" t="s">
        <v>353</v>
      </c>
      <c r="AD9" s="30" t="s">
        <v>353</v>
      </c>
      <c r="AE9" s="30" t="s">
        <v>353</v>
      </c>
      <c r="AF9" s="30" t="s">
        <v>353</v>
      </c>
      <c r="AG9" s="30" t="s">
        <v>353</v>
      </c>
      <c r="AH9" s="30" t="s">
        <v>353</v>
      </c>
      <c r="AI9" s="31" t="s">
        <v>353</v>
      </c>
      <c r="AJ9" s="32" t="s">
        <v>451</v>
      </c>
      <c r="AK9" s="30" t="s">
        <v>387</v>
      </c>
      <c r="AL9" s="30" t="s">
        <v>386</v>
      </c>
      <c r="AM9" s="28" t="s">
        <v>463</v>
      </c>
      <c r="AN9" s="30" t="s">
        <v>353</v>
      </c>
      <c r="AO9" s="30" t="s">
        <v>353</v>
      </c>
      <c r="AP9" s="30" t="s">
        <v>353</v>
      </c>
      <c r="AQ9" s="30" t="s">
        <v>353</v>
      </c>
      <c r="AR9" s="30" t="s">
        <v>353</v>
      </c>
      <c r="AS9" s="31" t="s">
        <v>353</v>
      </c>
      <c r="AT9" s="8" t="str">
        <f t="shared" si="0"/>
        <v>PzD Muncheberg</v>
      </c>
    </row>
    <row r="10" spans="1:46" s="8" customFormat="1" ht="18.75" customHeight="1" x14ac:dyDescent="0.25">
      <c r="A10" s="8" t="s">
        <v>353</v>
      </c>
      <c r="I10" s="9"/>
      <c r="J10" s="40" t="s">
        <v>353</v>
      </c>
      <c r="K10" s="40" t="s">
        <v>353</v>
      </c>
      <c r="L10" s="40" t="s">
        <v>353</v>
      </c>
      <c r="M10" s="40" t="s">
        <v>353</v>
      </c>
      <c r="N10" s="40" t="s">
        <v>353</v>
      </c>
      <c r="O10" s="40" t="s">
        <v>353</v>
      </c>
      <c r="P10" s="40" t="s">
        <v>353</v>
      </c>
      <c r="Q10" s="40" t="s">
        <v>353</v>
      </c>
      <c r="R10" s="40" t="s">
        <v>353</v>
      </c>
      <c r="S10" s="40" t="s">
        <v>353</v>
      </c>
      <c r="T10" s="43" t="s">
        <v>353</v>
      </c>
      <c r="U10" s="33" t="s">
        <v>353</v>
      </c>
      <c r="V10" s="33" t="s">
        <v>353</v>
      </c>
      <c r="W10" s="33" t="s">
        <v>353</v>
      </c>
      <c r="X10" s="33" t="s">
        <v>353</v>
      </c>
      <c r="Y10" s="33" t="s">
        <v>353</v>
      </c>
      <c r="Z10" s="33" t="s">
        <v>353</v>
      </c>
      <c r="AA10" s="33" t="s">
        <v>353</v>
      </c>
      <c r="AB10" s="33" t="s">
        <v>353</v>
      </c>
      <c r="AC10" s="33" t="s">
        <v>353</v>
      </c>
      <c r="AD10" s="33" t="s">
        <v>353</v>
      </c>
      <c r="AE10" s="33" t="s">
        <v>353</v>
      </c>
      <c r="AF10" s="33" t="s">
        <v>353</v>
      </c>
      <c r="AG10" s="33" t="s">
        <v>353</v>
      </c>
      <c r="AH10" s="33" t="s">
        <v>353</v>
      </c>
      <c r="AI10" s="33" t="s">
        <v>353</v>
      </c>
      <c r="AJ10" s="28" t="s">
        <v>493</v>
      </c>
      <c r="AK10" s="28" t="s">
        <v>494</v>
      </c>
      <c r="AL10" s="28" t="s">
        <v>386</v>
      </c>
      <c r="AM10" s="33" t="s">
        <v>353</v>
      </c>
      <c r="AN10" s="33" t="s">
        <v>353</v>
      </c>
      <c r="AO10" s="33" t="s">
        <v>353</v>
      </c>
      <c r="AP10" s="33" t="s">
        <v>353</v>
      </c>
      <c r="AQ10" s="33" t="s">
        <v>353</v>
      </c>
      <c r="AR10" s="33" t="s">
        <v>353</v>
      </c>
      <c r="AS10" s="33" t="s">
        <v>353</v>
      </c>
      <c r="AT10" s="8" t="str">
        <f t="shared" si="0"/>
        <v xml:space="preserve"> </v>
      </c>
    </row>
    <row r="11" spans="1:46" s="6" customFormat="1" ht="18.75" customHeight="1" x14ac:dyDescent="0.25">
      <c r="A11" s="10" t="s">
        <v>172</v>
      </c>
      <c r="B11" s="10">
        <v>8</v>
      </c>
      <c r="C11" s="10" t="s">
        <v>23</v>
      </c>
      <c r="D11" s="10" t="s">
        <v>6</v>
      </c>
      <c r="E11" s="10">
        <v>1</v>
      </c>
      <c r="F11" s="10">
        <v>25</v>
      </c>
      <c r="G11" s="10">
        <v>9</v>
      </c>
      <c r="H11" s="10">
        <f>E11+F11+G11</f>
        <v>35</v>
      </c>
      <c r="I11" s="11" t="s">
        <v>173</v>
      </c>
      <c r="J11" s="40" t="s">
        <v>353</v>
      </c>
      <c r="K11" s="40" t="s">
        <v>353</v>
      </c>
      <c r="L11" s="40" t="s">
        <v>353</v>
      </c>
      <c r="M11" s="40" t="s">
        <v>353</v>
      </c>
      <c r="N11" s="40" t="s">
        <v>353</v>
      </c>
      <c r="O11" s="40" t="s">
        <v>353</v>
      </c>
      <c r="P11" s="40" t="s">
        <v>353</v>
      </c>
      <c r="Q11" s="40" t="s">
        <v>353</v>
      </c>
      <c r="R11" s="40" t="s">
        <v>353</v>
      </c>
      <c r="S11" s="40" t="s">
        <v>353</v>
      </c>
      <c r="T11" s="43" t="s">
        <v>353</v>
      </c>
      <c r="U11" s="33" t="s">
        <v>353</v>
      </c>
      <c r="V11" s="33" t="s">
        <v>353</v>
      </c>
      <c r="W11" s="33" t="s">
        <v>353</v>
      </c>
      <c r="X11" s="33" t="s">
        <v>353</v>
      </c>
      <c r="Y11" s="34" t="s">
        <v>353</v>
      </c>
      <c r="Z11" s="34" t="s">
        <v>353</v>
      </c>
      <c r="AA11" s="34" t="s">
        <v>353</v>
      </c>
      <c r="AB11" s="34" t="s">
        <v>353</v>
      </c>
      <c r="AC11" s="34" t="s">
        <v>353</v>
      </c>
      <c r="AD11" s="33" t="s">
        <v>353</v>
      </c>
      <c r="AE11" s="33" t="s">
        <v>367</v>
      </c>
      <c r="AF11" s="33" t="s">
        <v>353</v>
      </c>
      <c r="AG11" s="29" t="s">
        <v>384</v>
      </c>
      <c r="AH11" s="33" t="s">
        <v>353</v>
      </c>
      <c r="AI11" s="34" t="s">
        <v>353</v>
      </c>
      <c r="AJ11" s="34" t="s">
        <v>368</v>
      </c>
      <c r="AK11" s="29" t="s">
        <v>446</v>
      </c>
      <c r="AL11" s="34" t="s">
        <v>369</v>
      </c>
      <c r="AM11" s="34" t="s">
        <v>353</v>
      </c>
      <c r="AN11" s="33"/>
      <c r="AO11" s="33" t="s">
        <v>353</v>
      </c>
      <c r="AP11" s="33" t="s">
        <v>353</v>
      </c>
      <c r="AQ11" s="33" t="s">
        <v>353</v>
      </c>
      <c r="AR11" s="33" t="s">
        <v>353</v>
      </c>
      <c r="AS11" s="34" t="s">
        <v>353</v>
      </c>
      <c r="AT11" s="10" t="str">
        <f t="shared" si="0"/>
        <v>10th Mountain</v>
      </c>
    </row>
    <row r="12" spans="1:46" s="8" customFormat="1" ht="18.75" customHeight="1" x14ac:dyDescent="0.25">
      <c r="A12" s="10" t="s">
        <v>169</v>
      </c>
      <c r="B12" s="10">
        <v>8</v>
      </c>
      <c r="C12" s="10" t="s">
        <v>21</v>
      </c>
      <c r="D12" s="10" t="s">
        <v>6</v>
      </c>
      <c r="E12" s="10">
        <v>2</v>
      </c>
      <c r="F12" s="10">
        <v>30</v>
      </c>
      <c r="G12" s="10">
        <v>8</v>
      </c>
      <c r="H12" s="10">
        <f>E12+F12+G12</f>
        <v>40</v>
      </c>
      <c r="I12" s="11" t="s">
        <v>170</v>
      </c>
      <c r="J12" s="40" t="s">
        <v>353</v>
      </c>
      <c r="K12" s="40" t="s">
        <v>353</v>
      </c>
      <c r="L12" s="40" t="s">
        <v>353</v>
      </c>
      <c r="M12" s="40" t="s">
        <v>353</v>
      </c>
      <c r="N12" s="40" t="s">
        <v>353</v>
      </c>
      <c r="O12" s="40" t="s">
        <v>353</v>
      </c>
      <c r="P12" s="40" t="s">
        <v>353</v>
      </c>
      <c r="Q12" s="40" t="s">
        <v>353</v>
      </c>
      <c r="R12" s="40" t="s">
        <v>353</v>
      </c>
      <c r="S12" s="40" t="s">
        <v>353</v>
      </c>
      <c r="T12" s="43" t="s">
        <v>353</v>
      </c>
      <c r="U12" s="33" t="s">
        <v>353</v>
      </c>
      <c r="V12" s="33" t="s">
        <v>353</v>
      </c>
      <c r="W12" s="33" t="s">
        <v>353</v>
      </c>
      <c r="X12" s="33" t="s">
        <v>353</v>
      </c>
      <c r="Y12" s="34" t="s">
        <v>353</v>
      </c>
      <c r="Z12" s="34" t="s">
        <v>353</v>
      </c>
      <c r="AA12" s="34" t="s">
        <v>353</v>
      </c>
      <c r="AB12" s="34" t="s">
        <v>353</v>
      </c>
      <c r="AC12" s="34" t="s">
        <v>353</v>
      </c>
      <c r="AD12" s="33" t="s">
        <v>353</v>
      </c>
      <c r="AE12" s="33" t="s">
        <v>353</v>
      </c>
      <c r="AF12" s="33" t="s">
        <v>353</v>
      </c>
      <c r="AG12" s="33" t="s">
        <v>353</v>
      </c>
      <c r="AH12" s="33" t="s">
        <v>353</v>
      </c>
      <c r="AI12" s="34" t="s">
        <v>353</v>
      </c>
      <c r="AJ12" s="29" t="s">
        <v>398</v>
      </c>
      <c r="AK12" s="28" t="s">
        <v>484</v>
      </c>
      <c r="AL12" s="8" t="s">
        <v>353</v>
      </c>
      <c r="AM12" s="34" t="s">
        <v>353</v>
      </c>
      <c r="AN12" s="33" t="s">
        <v>353</v>
      </c>
      <c r="AO12" s="33" t="s">
        <v>353</v>
      </c>
      <c r="AP12" s="29" t="s">
        <v>391</v>
      </c>
      <c r="AQ12" s="33" t="s">
        <v>353</v>
      </c>
      <c r="AR12" s="33" t="s">
        <v>353</v>
      </c>
      <c r="AS12" s="28" t="s">
        <v>485</v>
      </c>
      <c r="AT12" s="10" t="str">
        <f t="shared" si="0"/>
        <v>11th Airborne</v>
      </c>
    </row>
    <row r="13" spans="1:46" s="8" customFormat="1" ht="18.75" customHeight="1" x14ac:dyDescent="0.3">
      <c r="A13" s="10"/>
      <c r="B13" s="10"/>
      <c r="C13" s="10"/>
      <c r="D13" s="10"/>
      <c r="E13" s="10"/>
      <c r="F13" s="10"/>
      <c r="G13" s="10"/>
      <c r="H13" s="10"/>
      <c r="I13" s="11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3"/>
      <c r="U13" s="33"/>
      <c r="V13" s="33"/>
      <c r="W13" s="33"/>
      <c r="X13" s="33"/>
      <c r="Y13" s="34"/>
      <c r="Z13" s="34"/>
      <c r="AA13" s="34"/>
      <c r="AB13" s="34"/>
      <c r="AC13" s="34"/>
      <c r="AD13" s="33"/>
      <c r="AE13" s="33"/>
      <c r="AF13" s="33"/>
      <c r="AG13" s="33"/>
      <c r="AH13" s="33"/>
      <c r="AI13" s="34"/>
      <c r="AJ13" s="29"/>
      <c r="AK13" s="12" t="s">
        <v>508</v>
      </c>
      <c r="AL13" s="29" t="s">
        <v>353</v>
      </c>
      <c r="AM13" s="34"/>
      <c r="AN13" s="33"/>
      <c r="AO13" s="33"/>
      <c r="AP13" s="29" t="s">
        <v>441</v>
      </c>
      <c r="AQ13" s="33" t="s">
        <v>353</v>
      </c>
      <c r="AR13" s="33"/>
      <c r="AS13" s="28"/>
      <c r="AT13" s="10"/>
    </row>
    <row r="14" spans="1:46" s="8" customFormat="1" ht="18.75" customHeight="1" x14ac:dyDescent="0.25">
      <c r="A14" s="10" t="s">
        <v>171</v>
      </c>
      <c r="B14" s="10">
        <v>8</v>
      </c>
      <c r="C14" s="10" t="s">
        <v>22</v>
      </c>
      <c r="D14" s="10" t="s">
        <v>6</v>
      </c>
      <c r="E14" s="10">
        <v>2</v>
      </c>
      <c r="F14" s="10">
        <v>27</v>
      </c>
      <c r="G14" s="10">
        <v>7</v>
      </c>
      <c r="H14" s="10">
        <f>E14+F14+G14</f>
        <v>36</v>
      </c>
      <c r="I14" s="11" t="s">
        <v>174</v>
      </c>
      <c r="J14" s="40" t="s">
        <v>353</v>
      </c>
      <c r="K14" s="40" t="s">
        <v>353</v>
      </c>
      <c r="L14" s="40" t="s">
        <v>353</v>
      </c>
      <c r="M14" s="40" t="s">
        <v>353</v>
      </c>
      <c r="N14" s="40" t="s">
        <v>353</v>
      </c>
      <c r="O14" s="40" t="s">
        <v>353</v>
      </c>
      <c r="P14" s="40" t="s">
        <v>353</v>
      </c>
      <c r="Q14" s="40" t="s">
        <v>353</v>
      </c>
      <c r="R14" s="40" t="s">
        <v>353</v>
      </c>
      <c r="S14" s="40" t="s">
        <v>353</v>
      </c>
      <c r="T14" s="43" t="s">
        <v>353</v>
      </c>
      <c r="U14" s="33" t="s">
        <v>353</v>
      </c>
      <c r="V14" s="33" t="s">
        <v>353</v>
      </c>
      <c r="W14" s="33" t="s">
        <v>353</v>
      </c>
      <c r="X14" s="33" t="s">
        <v>353</v>
      </c>
      <c r="Y14" s="34" t="s">
        <v>353</v>
      </c>
      <c r="Z14" s="34" t="s">
        <v>353</v>
      </c>
      <c r="AA14" s="34" t="s">
        <v>353</v>
      </c>
      <c r="AB14" s="34" t="s">
        <v>353</v>
      </c>
      <c r="AC14" s="34" t="s">
        <v>353</v>
      </c>
      <c r="AD14" s="33" t="s">
        <v>353</v>
      </c>
      <c r="AE14" s="33" t="s">
        <v>353</v>
      </c>
      <c r="AF14" s="33" t="s">
        <v>353</v>
      </c>
      <c r="AG14" s="33" t="s">
        <v>353</v>
      </c>
      <c r="AH14" s="33" t="s">
        <v>353</v>
      </c>
      <c r="AI14" s="34" t="s">
        <v>353</v>
      </c>
      <c r="AJ14" s="34" t="s">
        <v>353</v>
      </c>
      <c r="AK14" s="34" t="s">
        <v>353</v>
      </c>
      <c r="AL14" s="29"/>
      <c r="AM14" s="34" t="s">
        <v>353</v>
      </c>
      <c r="AN14" s="33" t="s">
        <v>353</v>
      </c>
      <c r="AO14" s="33" t="s">
        <v>353</v>
      </c>
      <c r="AP14" s="33" t="s">
        <v>353</v>
      </c>
      <c r="AQ14" s="33" t="s">
        <v>353</v>
      </c>
      <c r="AR14" s="33" t="s">
        <v>353</v>
      </c>
      <c r="AS14" s="34" t="s">
        <v>353</v>
      </c>
      <c r="AT14" s="10" t="str">
        <f t="shared" ref="AT14:AT20" si="1">A14</f>
        <v>7th Armored</v>
      </c>
    </row>
    <row r="15" spans="1:46" s="8" customFormat="1" ht="18.75" customHeight="1" x14ac:dyDescent="0.3">
      <c r="A15" s="6" t="s">
        <v>146</v>
      </c>
      <c r="B15" s="6">
        <v>4</v>
      </c>
      <c r="C15" s="6" t="s">
        <v>21</v>
      </c>
      <c r="D15" s="6" t="s">
        <v>176</v>
      </c>
      <c r="E15" s="6">
        <v>2</v>
      </c>
      <c r="F15" s="6">
        <v>29</v>
      </c>
      <c r="G15" s="6">
        <v>6</v>
      </c>
      <c r="H15" s="6">
        <f>E15+F15+G15</f>
        <v>37</v>
      </c>
      <c r="I15" s="7" t="s">
        <v>164</v>
      </c>
      <c r="J15" s="38" t="s">
        <v>353</v>
      </c>
      <c r="K15" s="38" t="s">
        <v>353</v>
      </c>
      <c r="L15" s="38" t="s">
        <v>353</v>
      </c>
      <c r="M15" s="38" t="s">
        <v>353</v>
      </c>
      <c r="N15" s="38" t="s">
        <v>353</v>
      </c>
      <c r="O15" s="27" t="s">
        <v>353</v>
      </c>
      <c r="P15" s="27" t="s">
        <v>353</v>
      </c>
      <c r="Q15" s="27" t="s">
        <v>353</v>
      </c>
      <c r="R15" s="27" t="s">
        <v>353</v>
      </c>
      <c r="S15" s="27" t="s">
        <v>353</v>
      </c>
      <c r="T15" s="26" t="s">
        <v>353</v>
      </c>
      <c r="U15" s="26" t="s">
        <v>353</v>
      </c>
      <c r="V15" s="28" t="s">
        <v>459</v>
      </c>
      <c r="W15" s="26" t="s">
        <v>353</v>
      </c>
      <c r="X15" s="28" t="s">
        <v>460</v>
      </c>
      <c r="Y15" s="27" t="s">
        <v>353</v>
      </c>
      <c r="Z15" s="12" t="s">
        <v>509</v>
      </c>
      <c r="AA15" s="27" t="s">
        <v>353</v>
      </c>
      <c r="AB15" s="27" t="s">
        <v>353</v>
      </c>
      <c r="AC15" s="27" t="s">
        <v>353</v>
      </c>
      <c r="AD15" s="26" t="s">
        <v>353</v>
      </c>
      <c r="AE15" s="26" t="s">
        <v>353</v>
      </c>
      <c r="AF15" s="26" t="s">
        <v>353</v>
      </c>
      <c r="AG15" s="26" t="s">
        <v>353</v>
      </c>
      <c r="AH15" s="26" t="s">
        <v>353</v>
      </c>
      <c r="AI15" s="27" t="s">
        <v>353</v>
      </c>
      <c r="AJ15" s="27" t="s">
        <v>353</v>
      </c>
      <c r="AK15" s="34" t="s">
        <v>353</v>
      </c>
      <c r="AL15" s="27" t="s">
        <v>353</v>
      </c>
      <c r="AM15" s="27" t="s">
        <v>353</v>
      </c>
      <c r="AN15" s="26" t="s">
        <v>353</v>
      </c>
      <c r="AO15" s="26" t="s">
        <v>353</v>
      </c>
      <c r="AP15" s="26" t="s">
        <v>353</v>
      </c>
      <c r="AQ15" s="38" t="s">
        <v>353</v>
      </c>
      <c r="AR15" s="38" t="s">
        <v>353</v>
      </c>
      <c r="AS15" s="38" t="s">
        <v>353</v>
      </c>
      <c r="AT15" s="6" t="str">
        <f t="shared" si="1"/>
        <v>21-й танковый</v>
      </c>
    </row>
    <row r="16" spans="1:46" s="8" customFormat="1" ht="18.75" customHeight="1" x14ac:dyDescent="0.25">
      <c r="A16" s="6" t="s">
        <v>148</v>
      </c>
      <c r="B16" s="6">
        <v>4</v>
      </c>
      <c r="C16" s="6" t="s">
        <v>23</v>
      </c>
      <c r="D16" s="6" t="s">
        <v>176</v>
      </c>
      <c r="E16" s="6">
        <v>1</v>
      </c>
      <c r="F16" s="6">
        <v>22</v>
      </c>
      <c r="G16" s="6">
        <v>7</v>
      </c>
      <c r="H16" s="6">
        <f>E16+F16+G16</f>
        <v>30</v>
      </c>
      <c r="I16" s="7" t="s">
        <v>162</v>
      </c>
      <c r="J16" s="38" t="s">
        <v>353</v>
      </c>
      <c r="K16" s="38" t="s">
        <v>353</v>
      </c>
      <c r="L16" s="38" t="s">
        <v>353</v>
      </c>
      <c r="M16" s="38" t="s">
        <v>353</v>
      </c>
      <c r="N16" s="38" t="s">
        <v>353</v>
      </c>
      <c r="O16" s="27" t="s">
        <v>353</v>
      </c>
      <c r="P16" s="27" t="s">
        <v>353</v>
      </c>
      <c r="Q16" s="27" t="s">
        <v>353</v>
      </c>
      <c r="R16" s="27" t="s">
        <v>353</v>
      </c>
      <c r="S16" s="27" t="s">
        <v>353</v>
      </c>
      <c r="T16" s="26" t="s">
        <v>353</v>
      </c>
      <c r="U16" s="26" t="s">
        <v>353</v>
      </c>
      <c r="V16" s="26" t="s">
        <v>353</v>
      </c>
      <c r="W16" s="26" t="s">
        <v>353</v>
      </c>
      <c r="X16" s="26" t="s">
        <v>353</v>
      </c>
      <c r="Y16" s="27" t="s">
        <v>353</v>
      </c>
      <c r="Z16" s="28" t="s">
        <v>466</v>
      </c>
      <c r="AA16" s="27" t="s">
        <v>353</v>
      </c>
      <c r="AB16" s="27" t="s">
        <v>353</v>
      </c>
      <c r="AC16" s="27" t="s">
        <v>353</v>
      </c>
      <c r="AD16" s="26" t="s">
        <v>353</v>
      </c>
      <c r="AE16" s="26" t="s">
        <v>366</v>
      </c>
      <c r="AF16" s="26" t="s">
        <v>352</v>
      </c>
      <c r="AG16" s="26" t="s">
        <v>353</v>
      </c>
      <c r="AH16" s="26" t="s">
        <v>353</v>
      </c>
      <c r="AI16" s="27" t="s">
        <v>355</v>
      </c>
      <c r="AJ16" s="27" t="s">
        <v>353</v>
      </c>
      <c r="AK16" s="27" t="s">
        <v>353</v>
      </c>
      <c r="AL16" s="27" t="s">
        <v>353</v>
      </c>
      <c r="AM16" s="27" t="s">
        <v>353</v>
      </c>
      <c r="AN16" s="26" t="s">
        <v>353</v>
      </c>
      <c r="AO16" s="26" t="s">
        <v>353</v>
      </c>
      <c r="AP16" s="26" t="s">
        <v>353</v>
      </c>
      <c r="AQ16" s="38" t="s">
        <v>353</v>
      </c>
      <c r="AR16" s="38" t="s">
        <v>353</v>
      </c>
      <c r="AS16" s="38" t="s">
        <v>353</v>
      </c>
      <c r="AT16" s="6" t="str">
        <f t="shared" si="1"/>
        <v>3-я дивизия</v>
      </c>
    </row>
    <row r="17" spans="1:46" s="8" customFormat="1" ht="18.75" customHeight="1" x14ac:dyDescent="0.25">
      <c r="A17" s="6" t="s">
        <v>353</v>
      </c>
      <c r="B17" s="6"/>
      <c r="C17" s="6"/>
      <c r="D17" s="6"/>
      <c r="E17" s="6"/>
      <c r="F17" s="6"/>
      <c r="G17" s="6"/>
      <c r="H17" s="6"/>
      <c r="I17" s="7"/>
      <c r="J17" s="38"/>
      <c r="K17" s="38" t="s">
        <v>353</v>
      </c>
      <c r="L17" s="38" t="s">
        <v>353</v>
      </c>
      <c r="M17" s="38" t="s">
        <v>353</v>
      </c>
      <c r="N17" s="38" t="s">
        <v>353</v>
      </c>
      <c r="O17" s="27" t="s">
        <v>353</v>
      </c>
      <c r="P17" s="27" t="s">
        <v>353</v>
      </c>
      <c r="Q17" s="27" t="s">
        <v>353</v>
      </c>
      <c r="R17" s="27" t="s">
        <v>353</v>
      </c>
      <c r="S17" s="27" t="s">
        <v>353</v>
      </c>
      <c r="T17" s="26" t="s">
        <v>353</v>
      </c>
      <c r="U17" s="26" t="s">
        <v>353</v>
      </c>
      <c r="V17" s="26" t="s">
        <v>353</v>
      </c>
      <c r="W17" s="26" t="s">
        <v>353</v>
      </c>
      <c r="X17" s="26" t="s">
        <v>353</v>
      </c>
      <c r="Y17" s="27"/>
      <c r="Z17" s="28"/>
      <c r="AA17" s="27"/>
      <c r="AB17" s="27"/>
      <c r="AC17" s="27"/>
      <c r="AD17" s="26"/>
      <c r="AE17" s="26"/>
      <c r="AF17" s="26"/>
      <c r="AG17" s="26"/>
      <c r="AH17" s="26"/>
      <c r="AI17" s="28" t="s">
        <v>467</v>
      </c>
      <c r="AJ17" s="27" t="s">
        <v>353</v>
      </c>
      <c r="AK17" s="27"/>
      <c r="AL17" s="27" t="s">
        <v>353</v>
      </c>
      <c r="AM17" s="27" t="s">
        <v>353</v>
      </c>
      <c r="AN17" s="26" t="s">
        <v>353</v>
      </c>
      <c r="AO17" s="26" t="s">
        <v>353</v>
      </c>
      <c r="AP17" s="26" t="s">
        <v>353</v>
      </c>
      <c r="AQ17" s="38" t="s">
        <v>353</v>
      </c>
      <c r="AR17" s="38" t="s">
        <v>353</v>
      </c>
      <c r="AS17" s="38" t="s">
        <v>353</v>
      </c>
      <c r="AT17" s="6" t="str">
        <f t="shared" si="1"/>
        <v xml:space="preserve"> </v>
      </c>
    </row>
    <row r="18" spans="1:46" s="8" customFormat="1" ht="18.75" customHeight="1" x14ac:dyDescent="0.3">
      <c r="A18" s="6" t="s">
        <v>147</v>
      </c>
      <c r="B18" s="6">
        <v>4</v>
      </c>
      <c r="C18" s="6" t="s">
        <v>22</v>
      </c>
      <c r="D18" s="6" t="s">
        <v>176</v>
      </c>
      <c r="E18" s="6">
        <v>3</v>
      </c>
      <c r="F18" s="6">
        <v>26</v>
      </c>
      <c r="G18" s="6">
        <v>5</v>
      </c>
      <c r="H18" s="6">
        <f>E18+F18+G18</f>
        <v>34</v>
      </c>
      <c r="I18" s="7" t="s">
        <v>163</v>
      </c>
      <c r="J18" s="38" t="s">
        <v>353</v>
      </c>
      <c r="K18" s="38" t="s">
        <v>353</v>
      </c>
      <c r="L18" s="38" t="s">
        <v>353</v>
      </c>
      <c r="M18" s="38" t="s">
        <v>353</v>
      </c>
      <c r="N18" s="38" t="s">
        <v>353</v>
      </c>
      <c r="O18" s="28" t="s">
        <v>541</v>
      </c>
      <c r="P18" s="27" t="s">
        <v>353</v>
      </c>
      <c r="Q18" s="12" t="s">
        <v>510</v>
      </c>
      <c r="R18" s="27" t="s">
        <v>353</v>
      </c>
      <c r="S18" s="27" t="s">
        <v>353</v>
      </c>
      <c r="T18" s="26" t="s">
        <v>353</v>
      </c>
      <c r="U18" s="26" t="s">
        <v>353</v>
      </c>
      <c r="V18" s="28" t="s">
        <v>470</v>
      </c>
      <c r="W18" s="28" t="s">
        <v>474</v>
      </c>
      <c r="X18" s="26" t="s">
        <v>353</v>
      </c>
      <c r="Y18" s="28" t="s">
        <v>473</v>
      </c>
      <c r="Z18" s="28" t="s">
        <v>471</v>
      </c>
      <c r="AA18" s="28" t="s">
        <v>472</v>
      </c>
      <c r="AB18" s="27" t="s">
        <v>353</v>
      </c>
      <c r="AC18" s="28" t="s">
        <v>479</v>
      </c>
      <c r="AD18" s="26" t="s">
        <v>353</v>
      </c>
      <c r="AE18" s="28" t="s">
        <v>475</v>
      </c>
      <c r="AF18" s="26" t="s">
        <v>353</v>
      </c>
      <c r="AG18" s="26" t="s">
        <v>353</v>
      </c>
      <c r="AH18" s="26" t="s">
        <v>353</v>
      </c>
      <c r="AI18" s="27" t="s">
        <v>353</v>
      </c>
      <c r="AJ18" s="27" t="s">
        <v>353</v>
      </c>
      <c r="AK18" s="27" t="s">
        <v>353</v>
      </c>
      <c r="AL18" s="27" t="s">
        <v>353</v>
      </c>
      <c r="AM18" s="27" t="s">
        <v>353</v>
      </c>
      <c r="AN18" s="26" t="s">
        <v>353</v>
      </c>
      <c r="AO18" s="26" t="s">
        <v>353</v>
      </c>
      <c r="AP18" s="26" t="s">
        <v>353</v>
      </c>
      <c r="AQ18" s="38" t="s">
        <v>353</v>
      </c>
      <c r="AR18" s="38" t="s">
        <v>353</v>
      </c>
      <c r="AS18" s="38" t="s">
        <v>353</v>
      </c>
      <c r="AT18" s="6" t="str">
        <f t="shared" si="1"/>
        <v>7-й танковый</v>
      </c>
    </row>
    <row r="19" spans="1:46" s="8" customFormat="1" ht="18.75" customHeight="1" x14ac:dyDescent="0.25">
      <c r="A19" s="8" t="s">
        <v>182</v>
      </c>
      <c r="B19" s="8">
        <v>4</v>
      </c>
      <c r="C19" s="8" t="s">
        <v>22</v>
      </c>
      <c r="D19" s="8" t="s">
        <v>177</v>
      </c>
      <c r="E19" s="8">
        <v>4</v>
      </c>
      <c r="F19" s="8">
        <v>24</v>
      </c>
      <c r="G19" s="8">
        <v>4</v>
      </c>
      <c r="H19" s="8">
        <f>E19+F19+G19</f>
        <v>32</v>
      </c>
      <c r="I19" s="9" t="s">
        <v>160</v>
      </c>
      <c r="J19" s="39" t="s">
        <v>353</v>
      </c>
      <c r="K19" s="39" t="s">
        <v>353</v>
      </c>
      <c r="L19" s="39" t="s">
        <v>353</v>
      </c>
      <c r="M19" s="39" t="s">
        <v>353</v>
      </c>
      <c r="N19" s="39" t="s">
        <v>353</v>
      </c>
      <c r="O19" s="31" t="s">
        <v>353</v>
      </c>
      <c r="P19" s="31" t="s">
        <v>353</v>
      </c>
      <c r="Q19" s="31" t="s">
        <v>353</v>
      </c>
      <c r="R19" s="31" t="s">
        <v>353</v>
      </c>
      <c r="S19" s="31" t="s">
        <v>353</v>
      </c>
      <c r="T19" s="30" t="s">
        <v>353</v>
      </c>
      <c r="U19" s="30" t="s">
        <v>353</v>
      </c>
      <c r="V19" s="30" t="s">
        <v>450</v>
      </c>
      <c r="W19" s="30" t="s">
        <v>360</v>
      </c>
      <c r="X19" s="30" t="s">
        <v>353</v>
      </c>
      <c r="Y19" s="31" t="s">
        <v>353</v>
      </c>
      <c r="Z19" s="31" t="s">
        <v>353</v>
      </c>
      <c r="AA19" s="31" t="s">
        <v>353</v>
      </c>
      <c r="AB19" s="31" t="s">
        <v>353</v>
      </c>
      <c r="AC19" s="31" t="s">
        <v>359</v>
      </c>
      <c r="AD19" s="30" t="s">
        <v>353</v>
      </c>
      <c r="AE19" s="30" t="s">
        <v>353</v>
      </c>
      <c r="AF19" s="30" t="s">
        <v>454</v>
      </c>
      <c r="AG19" s="28" t="s">
        <v>491</v>
      </c>
      <c r="AH19" s="30" t="s">
        <v>361</v>
      </c>
      <c r="AI19" s="28" t="s">
        <v>490</v>
      </c>
      <c r="AJ19" s="31" t="s">
        <v>353</v>
      </c>
      <c r="AK19" s="31" t="s">
        <v>353</v>
      </c>
      <c r="AL19" s="31" t="s">
        <v>353</v>
      </c>
      <c r="AM19" s="31" t="s">
        <v>353</v>
      </c>
      <c r="AN19" s="30" t="s">
        <v>353</v>
      </c>
      <c r="AO19" s="30" t="s">
        <v>353</v>
      </c>
      <c r="AP19" s="30" t="s">
        <v>353</v>
      </c>
      <c r="AQ19" s="39" t="s">
        <v>353</v>
      </c>
      <c r="AR19" s="39" t="s">
        <v>353</v>
      </c>
      <c r="AS19" s="39" t="s">
        <v>353</v>
      </c>
      <c r="AT19" s="8" t="str">
        <f t="shared" si="1"/>
        <v>PzD Juterbog</v>
      </c>
    </row>
    <row r="20" spans="1:46" s="8" customFormat="1" ht="18.75" customHeight="1" x14ac:dyDescent="0.3">
      <c r="I20" s="9"/>
      <c r="J20" s="39"/>
      <c r="K20" s="39" t="s">
        <v>353</v>
      </c>
      <c r="L20" s="39" t="s">
        <v>353</v>
      </c>
      <c r="M20" s="39" t="s">
        <v>353</v>
      </c>
      <c r="N20" s="39" t="s">
        <v>353</v>
      </c>
      <c r="O20" s="31" t="s">
        <v>353</v>
      </c>
      <c r="P20" s="31" t="s">
        <v>353</v>
      </c>
      <c r="Q20" s="31" t="s">
        <v>353</v>
      </c>
      <c r="R20" s="31" t="s">
        <v>353</v>
      </c>
      <c r="S20" s="31" t="s">
        <v>353</v>
      </c>
      <c r="T20" s="30"/>
      <c r="U20" s="30"/>
      <c r="V20" s="30"/>
      <c r="W20" s="28" t="s">
        <v>452</v>
      </c>
      <c r="X20" s="30" t="s">
        <v>353</v>
      </c>
      <c r="Y20" s="31"/>
      <c r="Z20" s="31"/>
      <c r="AA20" s="31"/>
      <c r="AB20" s="31"/>
      <c r="AC20" s="31"/>
      <c r="AD20" s="30"/>
      <c r="AE20" s="30"/>
      <c r="AF20" s="12" t="s">
        <v>542</v>
      </c>
      <c r="AG20" s="28" t="s">
        <v>353</v>
      </c>
      <c r="AH20" s="30"/>
      <c r="AI20" s="28"/>
      <c r="AJ20" s="31"/>
      <c r="AK20" s="31"/>
      <c r="AL20" s="31" t="s">
        <v>353</v>
      </c>
      <c r="AM20" s="31" t="s">
        <v>353</v>
      </c>
      <c r="AN20" s="30" t="s">
        <v>353</v>
      </c>
      <c r="AO20" s="30" t="s">
        <v>353</v>
      </c>
      <c r="AP20" s="30" t="s">
        <v>353</v>
      </c>
      <c r="AQ20" s="39" t="s">
        <v>353</v>
      </c>
      <c r="AR20" s="39" t="s">
        <v>353</v>
      </c>
      <c r="AS20" s="39" t="s">
        <v>353</v>
      </c>
      <c r="AT20" s="8">
        <f t="shared" si="1"/>
        <v>0</v>
      </c>
    </row>
    <row r="21" spans="1:46" s="8" customFormat="1" ht="18.75" customHeight="1" x14ac:dyDescent="0.3">
      <c r="I21" s="9"/>
      <c r="J21" s="39"/>
      <c r="K21" s="39"/>
      <c r="L21" s="39"/>
      <c r="M21" s="39"/>
      <c r="N21" s="39"/>
      <c r="O21" s="31"/>
      <c r="P21" s="31"/>
      <c r="Q21" s="31"/>
      <c r="R21" s="31"/>
      <c r="S21" s="31"/>
      <c r="T21" s="30"/>
      <c r="U21" s="30"/>
      <c r="V21" s="30"/>
      <c r="W21" s="28"/>
      <c r="X21" s="30"/>
      <c r="Y21" s="31"/>
      <c r="Z21" s="31"/>
      <c r="AA21" s="31"/>
      <c r="AB21" s="31"/>
      <c r="AC21" s="31"/>
      <c r="AD21" s="30"/>
      <c r="AE21" s="30"/>
      <c r="AF21" s="12"/>
      <c r="AG21" s="28"/>
      <c r="AH21" s="30"/>
      <c r="AI21" s="28"/>
      <c r="AJ21" s="31"/>
      <c r="AK21" s="31"/>
      <c r="AL21" s="31"/>
      <c r="AM21" s="31"/>
      <c r="AN21" s="30"/>
      <c r="AO21" s="30"/>
      <c r="AP21" s="30"/>
      <c r="AQ21" s="39"/>
      <c r="AR21" s="39"/>
      <c r="AS21" s="39"/>
    </row>
    <row r="22" spans="1:46" s="8" customFormat="1" ht="18.75" customHeight="1" x14ac:dyDescent="0.3">
      <c r="A22" s="8" t="s">
        <v>183</v>
      </c>
      <c r="B22" s="8">
        <v>4</v>
      </c>
      <c r="C22" s="8" t="s">
        <v>21</v>
      </c>
      <c r="D22" s="8" t="s">
        <v>177</v>
      </c>
      <c r="E22" s="8">
        <v>2</v>
      </c>
      <c r="F22" s="8">
        <v>25</v>
      </c>
      <c r="G22" s="8">
        <v>6</v>
      </c>
      <c r="H22" s="8">
        <f t="shared" ref="H22:H34" si="2">E22+F22+G22</f>
        <v>33</v>
      </c>
      <c r="I22" s="9" t="s">
        <v>161</v>
      </c>
      <c r="J22" s="39" t="s">
        <v>353</v>
      </c>
      <c r="K22" s="39" t="s">
        <v>353</v>
      </c>
      <c r="L22" s="39" t="s">
        <v>353</v>
      </c>
      <c r="M22" s="39" t="s">
        <v>353</v>
      </c>
      <c r="N22" s="39" t="s">
        <v>353</v>
      </c>
      <c r="O22" s="28" t="s">
        <v>478</v>
      </c>
      <c r="P22" s="31" t="s">
        <v>353</v>
      </c>
      <c r="Q22" s="28" t="s">
        <v>489</v>
      </c>
      <c r="R22" s="31" t="s">
        <v>353</v>
      </c>
      <c r="S22" s="28" t="s">
        <v>477</v>
      </c>
      <c r="T22" s="30" t="s">
        <v>353</v>
      </c>
      <c r="U22" s="12" t="s">
        <v>498</v>
      </c>
      <c r="V22" s="30" t="s">
        <v>455</v>
      </c>
      <c r="W22" s="30" t="s">
        <v>353</v>
      </c>
      <c r="X22" s="30" t="s">
        <v>353</v>
      </c>
      <c r="Y22" s="12" t="s">
        <v>499</v>
      </c>
      <c r="Z22" s="28" t="s">
        <v>458</v>
      </c>
      <c r="AA22" s="31" t="s">
        <v>353</v>
      </c>
      <c r="AB22" s="31" t="s">
        <v>353</v>
      </c>
      <c r="AC22" s="31" t="s">
        <v>353</v>
      </c>
      <c r="AD22" s="28" t="s">
        <v>456</v>
      </c>
      <c r="AE22" s="28" t="s">
        <v>476</v>
      </c>
      <c r="AF22" s="30" t="s">
        <v>353</v>
      </c>
      <c r="AG22" s="30" t="s">
        <v>353</v>
      </c>
      <c r="AH22" s="30" t="s">
        <v>353</v>
      </c>
      <c r="AI22" s="31" t="s">
        <v>353</v>
      </c>
      <c r="AJ22" s="31" t="s">
        <v>353</v>
      </c>
      <c r="AK22" s="31" t="s">
        <v>353</v>
      </c>
      <c r="AL22" s="31" t="s">
        <v>353</v>
      </c>
      <c r="AM22" s="31" t="s">
        <v>353</v>
      </c>
      <c r="AN22" s="30" t="s">
        <v>353</v>
      </c>
      <c r="AO22" s="30" t="s">
        <v>353</v>
      </c>
      <c r="AP22" s="12" t="s">
        <v>520</v>
      </c>
      <c r="AQ22" s="39" t="s">
        <v>353</v>
      </c>
      <c r="AR22" s="39" t="s">
        <v>353</v>
      </c>
      <c r="AS22" s="39" t="s">
        <v>353</v>
      </c>
      <c r="AT22" s="8" t="str">
        <f t="shared" ref="AT22:AT34" si="3">A22</f>
        <v>PzD Kurmark</v>
      </c>
    </row>
    <row r="23" spans="1:46" s="8" customFormat="1" ht="18.75" customHeight="1" x14ac:dyDescent="0.25">
      <c r="A23" s="8" t="s">
        <v>353</v>
      </c>
      <c r="I23" s="9"/>
      <c r="J23" s="39"/>
      <c r="K23" s="39" t="s">
        <v>353</v>
      </c>
      <c r="L23" s="39" t="s">
        <v>353</v>
      </c>
      <c r="M23" s="39"/>
      <c r="N23" s="39"/>
      <c r="O23" s="28"/>
      <c r="P23" s="31"/>
      <c r="Q23" s="28"/>
      <c r="R23" s="31"/>
      <c r="S23" s="28"/>
      <c r="T23" s="30"/>
      <c r="U23" s="28"/>
      <c r="V23" s="30"/>
      <c r="W23" s="30"/>
      <c r="X23" s="30"/>
      <c r="Y23" s="30"/>
      <c r="Z23" s="28"/>
      <c r="AA23" s="31"/>
      <c r="AB23" s="31"/>
      <c r="AC23" s="31"/>
      <c r="AD23" s="28"/>
      <c r="AE23" s="28" t="s">
        <v>457</v>
      </c>
      <c r="AF23" s="30" t="s">
        <v>353</v>
      </c>
      <c r="AG23" s="30"/>
      <c r="AH23" s="30"/>
      <c r="AI23" s="31"/>
      <c r="AJ23" s="31" t="s">
        <v>353</v>
      </c>
      <c r="AK23" s="31" t="s">
        <v>353</v>
      </c>
      <c r="AL23" s="31" t="s">
        <v>353</v>
      </c>
      <c r="AM23" s="31" t="s">
        <v>353</v>
      </c>
      <c r="AN23" s="30" t="s">
        <v>353</v>
      </c>
      <c r="AO23" s="30" t="s">
        <v>353</v>
      </c>
      <c r="AP23" s="30" t="s">
        <v>353</v>
      </c>
      <c r="AQ23" s="39" t="s">
        <v>353</v>
      </c>
      <c r="AR23" s="39" t="s">
        <v>353</v>
      </c>
      <c r="AS23" s="39" t="s">
        <v>353</v>
      </c>
      <c r="AT23" s="8" t="str">
        <f t="shared" ref="AT23" si="4">A23</f>
        <v xml:space="preserve"> </v>
      </c>
    </row>
    <row r="24" spans="1:46" s="8" customFormat="1" ht="18.75" customHeight="1" x14ac:dyDescent="0.3">
      <c r="A24" s="8" t="s">
        <v>181</v>
      </c>
      <c r="B24" s="8">
        <v>4</v>
      </c>
      <c r="C24" s="8" t="s">
        <v>23</v>
      </c>
      <c r="D24" s="8" t="s">
        <v>177</v>
      </c>
      <c r="E24" s="8">
        <v>2</v>
      </c>
      <c r="F24" s="8">
        <v>22</v>
      </c>
      <c r="G24" s="8">
        <v>7</v>
      </c>
      <c r="H24" s="8">
        <f t="shared" si="2"/>
        <v>31</v>
      </c>
      <c r="I24" s="9" t="s">
        <v>159</v>
      </c>
      <c r="J24" s="39" t="s">
        <v>353</v>
      </c>
      <c r="K24" s="39" t="s">
        <v>353</v>
      </c>
      <c r="L24" s="39" t="s">
        <v>353</v>
      </c>
      <c r="M24" s="39" t="s">
        <v>353</v>
      </c>
      <c r="N24" s="39" t="s">
        <v>353</v>
      </c>
      <c r="O24" s="31" t="s">
        <v>353</v>
      </c>
      <c r="P24" s="31" t="s">
        <v>353</v>
      </c>
      <c r="Q24" s="31" t="s">
        <v>353</v>
      </c>
      <c r="R24" s="31" t="s">
        <v>353</v>
      </c>
      <c r="S24" s="31" t="s">
        <v>353</v>
      </c>
      <c r="T24" s="30" t="s">
        <v>353</v>
      </c>
      <c r="U24" s="30" t="s">
        <v>353</v>
      </c>
      <c r="V24" s="30" t="s">
        <v>353</v>
      </c>
      <c r="W24" s="30" t="s">
        <v>353</v>
      </c>
      <c r="X24" s="30" t="s">
        <v>358</v>
      </c>
      <c r="Y24" s="31" t="s">
        <v>362</v>
      </c>
      <c r="Z24" s="31" t="s">
        <v>353</v>
      </c>
      <c r="AA24" s="12" t="s">
        <v>554</v>
      </c>
      <c r="AB24" s="12" t="s">
        <v>557</v>
      </c>
      <c r="AC24" s="31" t="s">
        <v>353</v>
      </c>
      <c r="AD24" s="30" t="s">
        <v>353</v>
      </c>
      <c r="AE24" s="30" t="s">
        <v>353</v>
      </c>
      <c r="AF24" s="30" t="s">
        <v>389</v>
      </c>
      <c r="AG24" s="30" t="s">
        <v>353</v>
      </c>
      <c r="AH24" s="30" t="s">
        <v>353</v>
      </c>
      <c r="AI24" s="31" t="s">
        <v>353</v>
      </c>
      <c r="AJ24" s="31" t="s">
        <v>353</v>
      </c>
      <c r="AK24" s="28" t="s">
        <v>487</v>
      </c>
      <c r="AL24" s="31" t="s">
        <v>353</v>
      </c>
      <c r="AM24" s="31" t="s">
        <v>353</v>
      </c>
      <c r="AN24" s="30" t="s">
        <v>356</v>
      </c>
      <c r="AO24" s="30" t="s">
        <v>353</v>
      </c>
      <c r="AP24" s="12" t="s">
        <v>553</v>
      </c>
      <c r="AQ24" s="39" t="s">
        <v>353</v>
      </c>
      <c r="AR24" s="39" t="s">
        <v>353</v>
      </c>
      <c r="AS24" s="39" t="s">
        <v>353</v>
      </c>
      <c r="AT24" s="8" t="str">
        <f>A24</f>
        <v>PzD Schlesien</v>
      </c>
    </row>
    <row r="25" spans="1:46" s="8" customFormat="1" ht="18.75" customHeight="1" x14ac:dyDescent="0.3">
      <c r="A25" s="8" t="s">
        <v>353</v>
      </c>
      <c r="I25" s="9"/>
      <c r="J25" s="39" t="s">
        <v>353</v>
      </c>
      <c r="K25" s="39" t="s">
        <v>353</v>
      </c>
      <c r="L25" s="39" t="s">
        <v>353</v>
      </c>
      <c r="M25" s="39" t="s">
        <v>353</v>
      </c>
      <c r="N25" s="39" t="s">
        <v>353</v>
      </c>
      <c r="O25" s="31" t="s">
        <v>353</v>
      </c>
      <c r="P25" s="31" t="s">
        <v>353</v>
      </c>
      <c r="Q25" s="31" t="s">
        <v>353</v>
      </c>
      <c r="R25" s="31" t="s">
        <v>353</v>
      </c>
      <c r="S25" s="31" t="s">
        <v>353</v>
      </c>
      <c r="T25" s="30" t="s">
        <v>353</v>
      </c>
      <c r="U25" s="30"/>
      <c r="V25" s="30"/>
      <c r="W25" s="30"/>
      <c r="X25" s="30"/>
      <c r="Y25" s="31"/>
      <c r="Z25" s="31"/>
      <c r="AA25" s="31"/>
      <c r="AB25" s="31"/>
      <c r="AC25" s="31"/>
      <c r="AD25" s="30"/>
      <c r="AE25" s="30"/>
      <c r="AF25" s="12" t="s">
        <v>518</v>
      </c>
      <c r="AG25" s="30" t="s">
        <v>353</v>
      </c>
      <c r="AH25" s="30"/>
      <c r="AI25" s="31"/>
      <c r="AJ25" s="31"/>
      <c r="AK25" s="28"/>
      <c r="AL25" s="31"/>
      <c r="AM25" s="31"/>
      <c r="AN25" s="28" t="s">
        <v>488</v>
      </c>
      <c r="AO25" s="30" t="s">
        <v>353</v>
      </c>
      <c r="AP25" s="30"/>
      <c r="AQ25" s="39" t="s">
        <v>353</v>
      </c>
      <c r="AR25" s="39" t="s">
        <v>353</v>
      </c>
      <c r="AS25" s="39" t="s">
        <v>353</v>
      </c>
      <c r="AT25" s="8" t="str">
        <f>A25</f>
        <v xml:space="preserve"> </v>
      </c>
    </row>
    <row r="26" spans="1:46" s="10" customFormat="1" ht="18.75" customHeight="1" x14ac:dyDescent="0.3">
      <c r="A26" s="10" t="s">
        <v>149</v>
      </c>
      <c r="B26" s="10">
        <v>4</v>
      </c>
      <c r="C26" s="10" t="s">
        <v>21</v>
      </c>
      <c r="D26" s="10" t="s">
        <v>6</v>
      </c>
      <c r="E26" s="10">
        <v>1</v>
      </c>
      <c r="F26" s="10">
        <v>24</v>
      </c>
      <c r="G26" s="10">
        <v>9</v>
      </c>
      <c r="H26" s="10">
        <f t="shared" si="2"/>
        <v>34</v>
      </c>
      <c r="I26" s="11" t="s">
        <v>158</v>
      </c>
      <c r="J26" s="40" t="s">
        <v>353</v>
      </c>
      <c r="K26" s="40" t="s">
        <v>353</v>
      </c>
      <c r="L26" s="40" t="s">
        <v>353</v>
      </c>
      <c r="M26" s="40" t="s">
        <v>353</v>
      </c>
      <c r="N26" s="40" t="s">
        <v>353</v>
      </c>
      <c r="O26" s="34" t="s">
        <v>353</v>
      </c>
      <c r="P26" s="34" t="s">
        <v>353</v>
      </c>
      <c r="Q26" s="34" t="s">
        <v>353</v>
      </c>
      <c r="R26" s="34" t="s">
        <v>353</v>
      </c>
      <c r="S26" s="34" t="s">
        <v>353</v>
      </c>
      <c r="T26" s="33" t="s">
        <v>353</v>
      </c>
      <c r="U26" s="33" t="s">
        <v>353</v>
      </c>
      <c r="V26" s="33" t="s">
        <v>364</v>
      </c>
      <c r="W26" s="33" t="s">
        <v>353</v>
      </c>
      <c r="X26" s="33" t="s">
        <v>353</v>
      </c>
      <c r="Y26" s="12" t="s">
        <v>511</v>
      </c>
      <c r="Z26" s="34" t="s">
        <v>353</v>
      </c>
      <c r="AA26" s="34" t="s">
        <v>353</v>
      </c>
      <c r="AB26" s="34" t="s">
        <v>353</v>
      </c>
      <c r="AC26" s="34" t="s">
        <v>353</v>
      </c>
      <c r="AD26" s="33" t="s">
        <v>353</v>
      </c>
      <c r="AE26" s="33" t="s">
        <v>365</v>
      </c>
      <c r="AF26" s="12" t="s">
        <v>549</v>
      </c>
      <c r="AG26" s="33" t="s">
        <v>353</v>
      </c>
      <c r="AH26" s="33" t="s">
        <v>353</v>
      </c>
      <c r="AI26" s="34" t="s">
        <v>353</v>
      </c>
      <c r="AJ26" s="34" t="s">
        <v>353</v>
      </c>
      <c r="AK26" s="31"/>
      <c r="AL26" s="34" t="s">
        <v>353</v>
      </c>
      <c r="AM26" s="34" t="s">
        <v>353</v>
      </c>
      <c r="AN26" s="33" t="s">
        <v>353</v>
      </c>
      <c r="AO26" s="33" t="s">
        <v>353</v>
      </c>
      <c r="AP26" s="12" t="s">
        <v>540</v>
      </c>
      <c r="AQ26" s="40" t="s">
        <v>353</v>
      </c>
      <c r="AR26" s="40" t="s">
        <v>353</v>
      </c>
      <c r="AS26" s="40" t="s">
        <v>353</v>
      </c>
      <c r="AT26" s="10" t="str">
        <f t="shared" si="3"/>
        <v>11th Squadron</v>
      </c>
    </row>
    <row r="27" spans="1:46" s="10" customFormat="1" ht="18.75" customHeight="1" x14ac:dyDescent="0.3">
      <c r="I27" s="11"/>
      <c r="J27" s="40"/>
      <c r="K27" s="40"/>
      <c r="L27" s="40"/>
      <c r="M27" s="40"/>
      <c r="N27" s="40"/>
      <c r="O27" s="34"/>
      <c r="P27" s="34"/>
      <c r="Q27" s="34"/>
      <c r="R27" s="34"/>
      <c r="S27" s="34"/>
      <c r="T27" s="33"/>
      <c r="U27" s="33"/>
      <c r="V27" s="33"/>
      <c r="W27" s="33"/>
      <c r="X27" s="33"/>
      <c r="Y27" s="12"/>
      <c r="Z27" s="34"/>
      <c r="AA27" s="34"/>
      <c r="AB27" s="34"/>
      <c r="AC27" s="34"/>
      <c r="AD27" s="33"/>
      <c r="AE27" s="33"/>
      <c r="AF27" s="12" t="s">
        <v>550</v>
      </c>
      <c r="AG27" s="33" t="s">
        <v>353</v>
      </c>
      <c r="AH27" s="33"/>
      <c r="AI27" s="34"/>
      <c r="AJ27" s="34"/>
      <c r="AK27" s="31"/>
      <c r="AL27" s="34"/>
      <c r="AM27" s="34"/>
      <c r="AN27" s="33"/>
      <c r="AO27" s="33"/>
      <c r="AP27" s="12"/>
      <c r="AQ27" s="40"/>
      <c r="AR27" s="40"/>
      <c r="AS27" s="40"/>
    </row>
    <row r="28" spans="1:46" s="10" customFormat="1" ht="18.75" customHeight="1" x14ac:dyDescent="0.3">
      <c r="A28" s="10" t="s">
        <v>150</v>
      </c>
      <c r="B28" s="10">
        <v>4</v>
      </c>
      <c r="C28" s="10" t="s">
        <v>22</v>
      </c>
      <c r="D28" s="10" t="s">
        <v>6</v>
      </c>
      <c r="E28" s="10">
        <v>2</v>
      </c>
      <c r="F28" s="10">
        <v>22</v>
      </c>
      <c r="G28" s="10">
        <v>7</v>
      </c>
      <c r="H28" s="10">
        <f t="shared" si="2"/>
        <v>31</v>
      </c>
      <c r="I28" s="11" t="s">
        <v>157</v>
      </c>
      <c r="J28" s="40" t="s">
        <v>353</v>
      </c>
      <c r="K28" s="40" t="s">
        <v>353</v>
      </c>
      <c r="L28" s="40" t="s">
        <v>353</v>
      </c>
      <c r="M28" s="40" t="s">
        <v>353</v>
      </c>
      <c r="N28" s="40" t="s">
        <v>353</v>
      </c>
      <c r="O28" s="34" t="s">
        <v>353</v>
      </c>
      <c r="P28" s="34" t="s">
        <v>353</v>
      </c>
      <c r="Q28" s="34" t="s">
        <v>353</v>
      </c>
      <c r="R28" s="34" t="s">
        <v>353</v>
      </c>
      <c r="S28" s="34" t="s">
        <v>353</v>
      </c>
      <c r="T28" s="33" t="s">
        <v>353</v>
      </c>
      <c r="U28" s="33" t="s">
        <v>353</v>
      </c>
      <c r="V28" s="33" t="s">
        <v>353</v>
      </c>
      <c r="W28" s="33" t="s">
        <v>353</v>
      </c>
      <c r="X28" s="33" t="s">
        <v>353</v>
      </c>
      <c r="Y28" s="12" t="s">
        <v>483</v>
      </c>
      <c r="Z28" s="34" t="s">
        <v>353</v>
      </c>
      <c r="AA28" s="34" t="s">
        <v>353</v>
      </c>
      <c r="AB28" s="34" t="s">
        <v>353</v>
      </c>
      <c r="AC28" s="34" t="s">
        <v>353</v>
      </c>
      <c r="AD28" s="33" t="s">
        <v>353</v>
      </c>
      <c r="AE28" s="33" t="s">
        <v>353</v>
      </c>
      <c r="AF28" s="12" t="s">
        <v>543</v>
      </c>
      <c r="AG28" s="33" t="s">
        <v>353</v>
      </c>
      <c r="AH28" s="33" t="s">
        <v>353</v>
      </c>
      <c r="AI28" s="34" t="s">
        <v>363</v>
      </c>
      <c r="AJ28" s="34" t="s">
        <v>353</v>
      </c>
      <c r="AK28" s="31" t="s">
        <v>353</v>
      </c>
      <c r="AL28" s="34" t="s">
        <v>353</v>
      </c>
      <c r="AM28" s="34" t="s">
        <v>353</v>
      </c>
      <c r="AN28" s="33" t="s">
        <v>353</v>
      </c>
      <c r="AO28" s="33" t="s">
        <v>353</v>
      </c>
      <c r="AP28" s="33" t="s">
        <v>353</v>
      </c>
      <c r="AQ28" s="40" t="s">
        <v>353</v>
      </c>
      <c r="AR28" s="40" t="s">
        <v>353</v>
      </c>
      <c r="AS28" s="40" t="s">
        <v>353</v>
      </c>
      <c r="AT28" s="10" t="str">
        <f t="shared" si="3"/>
        <v>2nd Armored</v>
      </c>
    </row>
    <row r="29" spans="1:46" s="10" customFormat="1" ht="18.75" customHeight="1" x14ac:dyDescent="0.3">
      <c r="I29" s="11"/>
      <c r="J29" s="40"/>
      <c r="K29" s="40"/>
      <c r="L29" s="40"/>
      <c r="M29" s="40"/>
      <c r="N29" s="40"/>
      <c r="O29" s="34"/>
      <c r="P29" s="34"/>
      <c r="Q29" s="34"/>
      <c r="R29" s="34"/>
      <c r="S29" s="34"/>
      <c r="T29" s="33"/>
      <c r="U29" s="33"/>
      <c r="V29" s="33"/>
      <c r="W29" s="33"/>
      <c r="X29" s="33"/>
      <c r="Y29" s="12"/>
      <c r="Z29" s="34"/>
      <c r="AA29" s="34"/>
      <c r="AB29" s="34"/>
      <c r="AC29" s="34"/>
      <c r="AD29" s="33"/>
      <c r="AE29" s="33"/>
      <c r="AF29" s="12" t="s">
        <v>544</v>
      </c>
      <c r="AG29" s="33" t="s">
        <v>353</v>
      </c>
      <c r="AH29" s="33"/>
      <c r="AI29" s="34"/>
      <c r="AJ29" s="34"/>
      <c r="AK29" s="31"/>
      <c r="AL29" s="34"/>
      <c r="AM29" s="34"/>
      <c r="AN29" s="33"/>
      <c r="AO29" s="33"/>
      <c r="AP29" s="33"/>
      <c r="AQ29" s="40"/>
      <c r="AR29" s="40"/>
      <c r="AS29" s="40"/>
    </row>
    <row r="30" spans="1:46" s="10" customFormat="1" ht="18.75" customHeight="1" x14ac:dyDescent="0.3">
      <c r="A30" s="10" t="s">
        <v>151</v>
      </c>
      <c r="B30" s="10">
        <v>4</v>
      </c>
      <c r="C30" s="10" t="s">
        <v>23</v>
      </c>
      <c r="D30" s="10" t="s">
        <v>6</v>
      </c>
      <c r="E30" s="10">
        <v>1</v>
      </c>
      <c r="F30" s="10">
        <v>20</v>
      </c>
      <c r="G30" s="10">
        <v>10</v>
      </c>
      <c r="H30" s="10">
        <f t="shared" si="2"/>
        <v>31</v>
      </c>
      <c r="I30" s="11" t="s">
        <v>156</v>
      </c>
      <c r="J30" s="40" t="s">
        <v>353</v>
      </c>
      <c r="K30" s="40" t="s">
        <v>353</v>
      </c>
      <c r="L30" s="40" t="s">
        <v>353</v>
      </c>
      <c r="M30" s="40" t="s">
        <v>353</v>
      </c>
      <c r="N30" s="40" t="s">
        <v>353</v>
      </c>
      <c r="O30" s="34" t="s">
        <v>353</v>
      </c>
      <c r="P30" s="34" t="s">
        <v>353</v>
      </c>
      <c r="Q30" s="34" t="s">
        <v>353</v>
      </c>
      <c r="R30" s="34" t="s">
        <v>353</v>
      </c>
      <c r="S30" s="34" t="s">
        <v>353</v>
      </c>
      <c r="T30" s="33" t="s">
        <v>353</v>
      </c>
      <c r="U30" s="33" t="s">
        <v>353</v>
      </c>
      <c r="V30" s="33" t="s">
        <v>353</v>
      </c>
      <c r="W30" s="33" t="s">
        <v>353</v>
      </c>
      <c r="X30" s="33" t="s">
        <v>353</v>
      </c>
      <c r="Y30" s="34" t="s">
        <v>357</v>
      </c>
      <c r="Z30" s="34" t="s">
        <v>353</v>
      </c>
      <c r="AA30" s="12" t="s">
        <v>517</v>
      </c>
      <c r="AB30" s="34" t="s">
        <v>353</v>
      </c>
      <c r="AC30" s="34" t="s">
        <v>353</v>
      </c>
      <c r="AD30" s="33" t="s">
        <v>353</v>
      </c>
      <c r="AE30" s="33" t="s">
        <v>353</v>
      </c>
      <c r="AF30" s="28" t="s">
        <v>496</v>
      </c>
      <c r="AG30" s="33" t="s">
        <v>353</v>
      </c>
      <c r="AH30" s="33" t="s">
        <v>353</v>
      </c>
      <c r="AI30" s="34" t="s">
        <v>353</v>
      </c>
      <c r="AJ30" s="28" t="s">
        <v>462</v>
      </c>
      <c r="AK30" s="31" t="s">
        <v>353</v>
      </c>
      <c r="AL30" s="12" t="s">
        <v>551</v>
      </c>
      <c r="AM30" s="34" t="s">
        <v>353</v>
      </c>
      <c r="AN30" s="28" t="s">
        <v>492</v>
      </c>
      <c r="AO30" s="33" t="s">
        <v>353</v>
      </c>
      <c r="AP30" s="33" t="s">
        <v>353</v>
      </c>
      <c r="AQ30" s="40" t="s">
        <v>353</v>
      </c>
      <c r="AR30" s="40" t="s">
        <v>353</v>
      </c>
      <c r="AS30" s="40" t="s">
        <v>353</v>
      </c>
      <c r="AT30" s="10" t="str">
        <f t="shared" si="3"/>
        <v>3rd Airborne</v>
      </c>
    </row>
    <row r="31" spans="1:46" s="10" customFormat="1" ht="18.75" customHeight="1" x14ac:dyDescent="0.3">
      <c r="I31" s="11"/>
      <c r="J31" s="40"/>
      <c r="K31" s="40"/>
      <c r="L31" s="40"/>
      <c r="M31" s="40"/>
      <c r="N31" s="40"/>
      <c r="O31" s="34"/>
      <c r="P31" s="34"/>
      <c r="Q31" s="34"/>
      <c r="R31" s="34"/>
      <c r="S31" s="34"/>
      <c r="T31" s="33"/>
      <c r="U31" s="33"/>
      <c r="V31" s="33"/>
      <c r="W31" s="33"/>
      <c r="X31" s="33"/>
      <c r="Y31" s="34"/>
      <c r="Z31" s="34"/>
      <c r="AA31" s="34"/>
      <c r="AB31" s="34"/>
      <c r="AC31" s="34"/>
      <c r="AD31" s="33"/>
      <c r="AE31" s="33"/>
      <c r="AF31" s="12" t="s">
        <v>497</v>
      </c>
      <c r="AG31" s="33" t="s">
        <v>353</v>
      </c>
      <c r="AH31" s="33"/>
      <c r="AI31" s="34"/>
      <c r="AJ31" s="28"/>
      <c r="AK31" s="31"/>
      <c r="AL31" s="34"/>
      <c r="AM31" s="34"/>
      <c r="AN31" s="28"/>
      <c r="AO31" s="33"/>
      <c r="AP31" s="33"/>
      <c r="AQ31" s="40"/>
      <c r="AR31" s="40"/>
      <c r="AS31" s="40"/>
    </row>
    <row r="32" spans="1:46" s="10" customFormat="1" ht="18.75" customHeight="1" x14ac:dyDescent="0.25">
      <c r="A32" s="6" t="s">
        <v>145</v>
      </c>
      <c r="B32" s="6">
        <v>1</v>
      </c>
      <c r="C32" s="6" t="s">
        <v>143</v>
      </c>
      <c r="D32" s="6" t="s">
        <v>176</v>
      </c>
      <c r="E32" s="6">
        <v>1</v>
      </c>
      <c r="F32" s="6">
        <v>20</v>
      </c>
      <c r="G32" s="6">
        <v>5</v>
      </c>
      <c r="H32" s="6">
        <f t="shared" si="2"/>
        <v>26</v>
      </c>
      <c r="I32" s="7"/>
      <c r="J32" s="26" t="s">
        <v>353</v>
      </c>
      <c r="K32" s="26" t="s">
        <v>353</v>
      </c>
      <c r="L32" s="26" t="s">
        <v>353</v>
      </c>
      <c r="M32" s="26" t="s">
        <v>353</v>
      </c>
      <c r="N32" s="26" t="s">
        <v>353</v>
      </c>
      <c r="O32" s="27" t="s">
        <v>353</v>
      </c>
      <c r="P32" s="27" t="s">
        <v>353</v>
      </c>
      <c r="Q32" s="27" t="s">
        <v>353</v>
      </c>
      <c r="R32" s="27" t="s">
        <v>353</v>
      </c>
      <c r="S32" s="27" t="s">
        <v>353</v>
      </c>
      <c r="T32" s="26" t="s">
        <v>353</v>
      </c>
      <c r="U32" s="26" t="s">
        <v>353</v>
      </c>
      <c r="V32" s="26" t="s">
        <v>353</v>
      </c>
      <c r="W32" s="26" t="s">
        <v>353</v>
      </c>
      <c r="X32" s="26" t="s">
        <v>353</v>
      </c>
      <c r="Y32" s="27" t="s">
        <v>353</v>
      </c>
      <c r="Z32" s="27" t="s">
        <v>353</v>
      </c>
      <c r="AA32" s="27" t="s">
        <v>353</v>
      </c>
      <c r="AB32" s="27" t="s">
        <v>353</v>
      </c>
      <c r="AC32" s="27" t="s">
        <v>353</v>
      </c>
      <c r="AD32" s="26" t="s">
        <v>353</v>
      </c>
      <c r="AE32" s="26" t="s">
        <v>353</v>
      </c>
      <c r="AF32" s="26" t="s">
        <v>353</v>
      </c>
      <c r="AG32" s="26" t="s">
        <v>353</v>
      </c>
      <c r="AH32" s="26" t="s">
        <v>353</v>
      </c>
      <c r="AI32" s="27" t="s">
        <v>353</v>
      </c>
      <c r="AJ32" s="27" t="s">
        <v>353</v>
      </c>
      <c r="AK32" s="34" t="s">
        <v>353</v>
      </c>
      <c r="AL32" s="27" t="s">
        <v>353</v>
      </c>
      <c r="AM32" s="38" t="s">
        <v>353</v>
      </c>
      <c r="AN32" s="38" t="s">
        <v>353</v>
      </c>
      <c r="AO32" s="38" t="s">
        <v>353</v>
      </c>
      <c r="AP32" s="38" t="s">
        <v>353</v>
      </c>
      <c r="AQ32" s="38" t="s">
        <v>353</v>
      </c>
      <c r="AR32" s="38" t="s">
        <v>353</v>
      </c>
      <c r="AS32" s="38" t="s">
        <v>353</v>
      </c>
      <c r="AT32" s="6" t="str">
        <f t="shared" si="3"/>
        <v>Учебная Часть</v>
      </c>
    </row>
    <row r="33" spans="1:46" s="10" customFormat="1" ht="18.75" customHeight="1" x14ac:dyDescent="0.3">
      <c r="A33" s="8" t="s">
        <v>142</v>
      </c>
      <c r="B33" s="8">
        <v>1</v>
      </c>
      <c r="C33" s="8" t="s">
        <v>143</v>
      </c>
      <c r="D33" s="8" t="s">
        <v>177</v>
      </c>
      <c r="E33" s="8">
        <v>2</v>
      </c>
      <c r="F33" s="8">
        <v>17</v>
      </c>
      <c r="G33" s="8">
        <v>4</v>
      </c>
      <c r="H33" s="8">
        <f t="shared" si="2"/>
        <v>23</v>
      </c>
      <c r="I33" s="9"/>
      <c r="J33" s="30" t="s">
        <v>353</v>
      </c>
      <c r="K33" s="30" t="s">
        <v>353</v>
      </c>
      <c r="L33" s="12" t="s">
        <v>559</v>
      </c>
      <c r="M33" s="30" t="s">
        <v>353</v>
      </c>
      <c r="N33" s="30" t="s">
        <v>353</v>
      </c>
      <c r="O33" s="31" t="s">
        <v>353</v>
      </c>
      <c r="P33" s="31" t="s">
        <v>353</v>
      </c>
      <c r="Q33" s="31" t="s">
        <v>353</v>
      </c>
      <c r="R33" s="31" t="s">
        <v>353</v>
      </c>
      <c r="S33" s="31" t="s">
        <v>353</v>
      </c>
      <c r="T33" s="30" t="s">
        <v>353</v>
      </c>
      <c r="U33" s="12" t="s">
        <v>558</v>
      </c>
      <c r="V33" s="30" t="s">
        <v>353</v>
      </c>
      <c r="W33" s="30" t="s">
        <v>353</v>
      </c>
      <c r="X33" s="30" t="s">
        <v>353</v>
      </c>
      <c r="Y33" s="31" t="s">
        <v>353</v>
      </c>
      <c r="Z33" s="31" t="s">
        <v>353</v>
      </c>
      <c r="AA33" s="31" t="s">
        <v>353</v>
      </c>
      <c r="AB33" s="31" t="s">
        <v>353</v>
      </c>
      <c r="AC33" s="31" t="s">
        <v>353</v>
      </c>
      <c r="AD33" s="30" t="s">
        <v>353</v>
      </c>
      <c r="AE33" s="30" t="s">
        <v>353</v>
      </c>
      <c r="AF33" s="30" t="s">
        <v>353</v>
      </c>
      <c r="AG33" s="30" t="s">
        <v>353</v>
      </c>
      <c r="AH33" s="30" t="s">
        <v>353</v>
      </c>
      <c r="AI33" s="31" t="s">
        <v>353</v>
      </c>
      <c r="AJ33" s="31" t="s">
        <v>353</v>
      </c>
      <c r="AK33" s="34" t="s">
        <v>353</v>
      </c>
      <c r="AL33" s="31" t="s">
        <v>353</v>
      </c>
      <c r="AM33" s="39" t="s">
        <v>353</v>
      </c>
      <c r="AN33" s="39" t="s">
        <v>353</v>
      </c>
      <c r="AO33" s="39" t="s">
        <v>353</v>
      </c>
      <c r="AP33" s="39" t="s">
        <v>353</v>
      </c>
      <c r="AQ33" s="39" t="s">
        <v>353</v>
      </c>
      <c r="AR33" s="39" t="s">
        <v>353</v>
      </c>
      <c r="AS33" s="39" t="s">
        <v>353</v>
      </c>
      <c r="AT33" s="8" t="str">
        <f t="shared" si="3"/>
        <v>Trainingslager</v>
      </c>
    </row>
    <row r="34" spans="1:46" s="10" customFormat="1" ht="18.75" customHeight="1" x14ac:dyDescent="0.25">
      <c r="A34" s="10" t="s">
        <v>144</v>
      </c>
      <c r="B34" s="10">
        <v>1</v>
      </c>
      <c r="C34" s="10" t="s">
        <v>143</v>
      </c>
      <c r="D34" s="10" t="s">
        <v>6</v>
      </c>
      <c r="E34" s="10">
        <v>1</v>
      </c>
      <c r="F34" s="10">
        <v>16</v>
      </c>
      <c r="G34" s="10">
        <v>6</v>
      </c>
      <c r="H34" s="10">
        <f t="shared" si="2"/>
        <v>23</v>
      </c>
      <c r="I34" s="11"/>
      <c r="J34" s="33" t="s">
        <v>353</v>
      </c>
      <c r="K34" s="33" t="s">
        <v>353</v>
      </c>
      <c r="L34" s="33" t="s">
        <v>353</v>
      </c>
      <c r="M34" s="33" t="s">
        <v>353</v>
      </c>
      <c r="N34" s="33" t="s">
        <v>353</v>
      </c>
      <c r="O34" s="34" t="s">
        <v>353</v>
      </c>
      <c r="P34" s="34" t="s">
        <v>353</v>
      </c>
      <c r="Q34" s="34" t="s">
        <v>353</v>
      </c>
      <c r="R34" s="34" t="s">
        <v>353</v>
      </c>
      <c r="S34" s="34" t="s">
        <v>353</v>
      </c>
      <c r="T34" s="33" t="s">
        <v>353</v>
      </c>
      <c r="U34" s="33" t="s">
        <v>353</v>
      </c>
      <c r="V34" s="33" t="s">
        <v>353</v>
      </c>
      <c r="W34" s="33" t="s">
        <v>353</v>
      </c>
      <c r="X34" s="33" t="s">
        <v>353</v>
      </c>
      <c r="Y34" s="34" t="s">
        <v>353</v>
      </c>
      <c r="Z34" s="34" t="s">
        <v>353</v>
      </c>
      <c r="AA34" s="34" t="s">
        <v>353</v>
      </c>
      <c r="AB34" s="34" t="s">
        <v>353</v>
      </c>
      <c r="AC34" s="34" t="s">
        <v>353</v>
      </c>
      <c r="AD34" s="33" t="s">
        <v>353</v>
      </c>
      <c r="AE34" s="33" t="s">
        <v>353</v>
      </c>
      <c r="AF34" s="33" t="s">
        <v>353</v>
      </c>
      <c r="AG34" s="33" t="s">
        <v>353</v>
      </c>
      <c r="AH34" s="33" t="s">
        <v>353</v>
      </c>
      <c r="AI34" s="34" t="s">
        <v>353</v>
      </c>
      <c r="AJ34" s="34" t="s">
        <v>353</v>
      </c>
      <c r="AK34" s="34" t="s">
        <v>353</v>
      </c>
      <c r="AL34" s="34" t="s">
        <v>353</v>
      </c>
      <c r="AM34" s="40" t="s">
        <v>353</v>
      </c>
      <c r="AN34" s="40" t="s">
        <v>353</v>
      </c>
      <c r="AO34" s="40" t="s">
        <v>353</v>
      </c>
      <c r="AP34" s="40" t="s">
        <v>353</v>
      </c>
      <c r="AQ34" s="40" t="s">
        <v>353</v>
      </c>
      <c r="AR34" s="40" t="s">
        <v>353</v>
      </c>
      <c r="AS34" s="40" t="s">
        <v>353</v>
      </c>
      <c r="AT34" s="10" t="str">
        <f t="shared" si="3"/>
        <v>Training Camp</v>
      </c>
    </row>
    <row r="35" spans="1:46" ht="18.75" customHeight="1" x14ac:dyDescent="0.25">
      <c r="A35" s="21"/>
      <c r="B35" s="21"/>
      <c r="C35" s="21"/>
      <c r="D35" s="21"/>
      <c r="E35" s="21"/>
      <c r="F35" s="21"/>
      <c r="G35" s="21"/>
      <c r="H35" s="21"/>
      <c r="I35" s="22"/>
      <c r="AK35" s="27" t="s">
        <v>353</v>
      </c>
      <c r="AT35" s="21"/>
    </row>
    <row r="36" spans="1:46" ht="18.75" customHeight="1" x14ac:dyDescent="0.25">
      <c r="AK36" s="31" t="s">
        <v>353</v>
      </c>
    </row>
    <row r="37" spans="1:46" ht="18.75" customHeight="1" x14ac:dyDescent="0.25">
      <c r="AK37" s="34" t="s">
        <v>353</v>
      </c>
    </row>
  </sheetData>
  <autoFilter ref="A2:AT2">
    <sortState ref="A3:AT20">
      <sortCondition descending="1" ref="B2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C50"/>
  <sheetViews>
    <sheetView topLeftCell="B1" workbookViewId="0">
      <selection activeCell="B5" sqref="B5"/>
    </sheetView>
  </sheetViews>
  <sheetFormatPr defaultRowHeight="10.5" customHeight="1" x14ac:dyDescent="0.25"/>
  <cols>
    <col min="26" max="26" width="17.7109375" customWidth="1"/>
  </cols>
  <sheetData>
    <row r="1" spans="1:29" ht="10.5" customHeight="1" x14ac:dyDescent="0.3">
      <c r="A1" s="12" t="s">
        <v>537</v>
      </c>
      <c r="D1">
        <v>1</v>
      </c>
      <c r="E1">
        <v>2939</v>
      </c>
      <c r="G1">
        <v>51</v>
      </c>
      <c r="K1">
        <v>1</v>
      </c>
      <c r="L1">
        <v>3264</v>
      </c>
      <c r="N1">
        <v>51</v>
      </c>
      <c r="R1" t="s">
        <v>524</v>
      </c>
    </row>
    <row r="2" spans="1:29" ht="10.5" customHeight="1" x14ac:dyDescent="0.3">
      <c r="A2" s="12" t="s">
        <v>538</v>
      </c>
      <c r="D2">
        <v>2</v>
      </c>
      <c r="E2">
        <v>5127</v>
      </c>
      <c r="F2">
        <f>E2-E1</f>
        <v>2188</v>
      </c>
      <c r="G2">
        <v>52</v>
      </c>
      <c r="K2">
        <v>2</v>
      </c>
      <c r="M2">
        <f>L2-L1</f>
        <v>-3264</v>
      </c>
      <c r="N2">
        <v>52</v>
      </c>
      <c r="R2" t="s">
        <v>521</v>
      </c>
      <c r="S2">
        <v>7574</v>
      </c>
      <c r="T2">
        <v>-25874</v>
      </c>
      <c r="Z2" t="s">
        <v>529</v>
      </c>
      <c r="AA2">
        <v>59869</v>
      </c>
      <c r="AC2" t="s">
        <v>536</v>
      </c>
    </row>
    <row r="3" spans="1:29" ht="10.5" customHeight="1" x14ac:dyDescent="0.25">
      <c r="D3">
        <v>3</v>
      </c>
      <c r="E3">
        <v>7574</v>
      </c>
      <c r="F3">
        <f t="shared" ref="F3:F9" si="0">E3-E2</f>
        <v>2447</v>
      </c>
      <c r="G3">
        <v>53</v>
      </c>
      <c r="K3">
        <v>3</v>
      </c>
      <c r="L3">
        <v>9424</v>
      </c>
      <c r="M3">
        <f t="shared" ref="M3:M9" si="1">L3-L2</f>
        <v>9424</v>
      </c>
      <c r="N3">
        <v>53</v>
      </c>
      <c r="R3" t="s">
        <v>522</v>
      </c>
      <c r="S3">
        <v>14449</v>
      </c>
      <c r="Z3" t="s">
        <v>530</v>
      </c>
      <c r="AA3">
        <v>59869</v>
      </c>
    </row>
    <row r="4" spans="1:29" ht="10.5" customHeight="1" x14ac:dyDescent="0.25">
      <c r="B4" t="s">
        <v>539</v>
      </c>
      <c r="D4">
        <v>4</v>
      </c>
      <c r="E4">
        <v>9944</v>
      </c>
      <c r="F4">
        <f t="shared" si="0"/>
        <v>2370</v>
      </c>
      <c r="G4">
        <v>54</v>
      </c>
      <c r="K4">
        <v>4</v>
      </c>
      <c r="M4">
        <f t="shared" si="1"/>
        <v>-9424</v>
      </c>
      <c r="N4">
        <v>54</v>
      </c>
      <c r="R4" t="s">
        <v>523</v>
      </c>
      <c r="S4">
        <v>17739</v>
      </c>
      <c r="Z4" t="s">
        <v>531</v>
      </c>
      <c r="AA4">
        <v>65414</v>
      </c>
      <c r="AB4">
        <f>AA4/3</f>
        <v>21804.666666666668</v>
      </c>
    </row>
    <row r="5" spans="1:29" ht="10.5" customHeight="1" x14ac:dyDescent="0.25">
      <c r="D5">
        <v>5</v>
      </c>
      <c r="E5">
        <v>12235</v>
      </c>
      <c r="F5">
        <f t="shared" si="0"/>
        <v>2291</v>
      </c>
      <c r="G5">
        <v>55</v>
      </c>
      <c r="K5">
        <v>5</v>
      </c>
      <c r="L5">
        <v>15090</v>
      </c>
      <c r="M5">
        <f t="shared" si="1"/>
        <v>15090</v>
      </c>
      <c r="N5">
        <v>55</v>
      </c>
      <c r="R5" t="s">
        <v>525</v>
      </c>
      <c r="S5">
        <v>5127</v>
      </c>
    </row>
    <row r="6" spans="1:29" ht="10.5" customHeight="1" x14ac:dyDescent="0.25">
      <c r="D6">
        <v>6</v>
      </c>
      <c r="E6">
        <v>14449</v>
      </c>
      <c r="F6">
        <f t="shared" si="0"/>
        <v>2214</v>
      </c>
      <c r="G6">
        <v>56</v>
      </c>
      <c r="K6">
        <v>6</v>
      </c>
      <c r="L6">
        <v>17739</v>
      </c>
      <c r="M6">
        <f t="shared" si="1"/>
        <v>2649</v>
      </c>
      <c r="N6">
        <v>56</v>
      </c>
      <c r="R6" t="s">
        <v>526</v>
      </c>
      <c r="S6">
        <v>3264</v>
      </c>
    </row>
    <row r="7" spans="1:29" ht="10.5" customHeight="1" x14ac:dyDescent="0.25">
      <c r="D7">
        <v>7</v>
      </c>
      <c r="F7">
        <f t="shared" si="0"/>
        <v>-14449</v>
      </c>
      <c r="G7">
        <v>57</v>
      </c>
      <c r="K7">
        <v>7</v>
      </c>
      <c r="L7">
        <v>21239</v>
      </c>
      <c r="M7">
        <f t="shared" si="1"/>
        <v>3500</v>
      </c>
      <c r="N7">
        <v>57</v>
      </c>
      <c r="R7" t="s">
        <v>527</v>
      </c>
      <c r="S7">
        <v>21239</v>
      </c>
    </row>
    <row r="8" spans="1:29" ht="10.5" customHeight="1" x14ac:dyDescent="0.25">
      <c r="D8">
        <v>8</v>
      </c>
      <c r="F8">
        <f t="shared" si="0"/>
        <v>0</v>
      </c>
      <c r="G8">
        <v>58</v>
      </c>
      <c r="K8">
        <v>8</v>
      </c>
      <c r="M8">
        <f t="shared" si="1"/>
        <v>-21239</v>
      </c>
      <c r="N8">
        <v>58</v>
      </c>
      <c r="R8" t="s">
        <v>528</v>
      </c>
      <c r="S8">
        <v>15090</v>
      </c>
    </row>
    <row r="9" spans="1:29" ht="10.5" customHeight="1" x14ac:dyDescent="0.25">
      <c r="D9">
        <v>9</v>
      </c>
      <c r="F9">
        <f t="shared" si="0"/>
        <v>0</v>
      </c>
      <c r="G9">
        <v>59</v>
      </c>
      <c r="K9">
        <v>9</v>
      </c>
      <c r="L9">
        <v>24945</v>
      </c>
      <c r="M9">
        <f t="shared" si="1"/>
        <v>24945</v>
      </c>
      <c r="N9">
        <v>59</v>
      </c>
    </row>
    <row r="10" spans="1:29" ht="10.5" customHeight="1" x14ac:dyDescent="0.25">
      <c r="D10">
        <v>10</v>
      </c>
      <c r="G10">
        <v>60</v>
      </c>
      <c r="K10">
        <v>10</v>
      </c>
      <c r="N10">
        <v>60</v>
      </c>
    </row>
    <row r="11" spans="1:29" ht="10.5" customHeight="1" x14ac:dyDescent="0.25">
      <c r="D11">
        <v>11</v>
      </c>
      <c r="G11">
        <v>61</v>
      </c>
      <c r="K11">
        <v>11</v>
      </c>
      <c r="N11">
        <v>61</v>
      </c>
    </row>
    <row r="12" spans="1:29" ht="10.5" customHeight="1" x14ac:dyDescent="0.25">
      <c r="D12">
        <v>12</v>
      </c>
      <c r="G12">
        <v>62</v>
      </c>
      <c r="K12">
        <v>12</v>
      </c>
      <c r="N12">
        <v>62</v>
      </c>
    </row>
    <row r="13" spans="1:29" ht="10.5" customHeight="1" x14ac:dyDescent="0.25">
      <c r="D13">
        <v>13</v>
      </c>
      <c r="E13">
        <v>28233</v>
      </c>
      <c r="F13">
        <f>E13/D13</f>
        <v>2171.7692307692309</v>
      </c>
      <c r="G13">
        <v>63</v>
      </c>
      <c r="K13">
        <v>13</v>
      </c>
      <c r="N13">
        <v>63</v>
      </c>
    </row>
    <row r="14" spans="1:29" ht="10.5" customHeight="1" x14ac:dyDescent="0.25">
      <c r="D14">
        <v>14</v>
      </c>
      <c r="G14">
        <v>64</v>
      </c>
      <c r="K14">
        <v>14</v>
      </c>
      <c r="N14">
        <v>64</v>
      </c>
    </row>
    <row r="15" spans="1:29" ht="10.5" customHeight="1" x14ac:dyDescent="0.25">
      <c r="D15">
        <v>15</v>
      </c>
      <c r="G15">
        <v>65</v>
      </c>
      <c r="K15">
        <v>15</v>
      </c>
      <c r="N15">
        <v>65</v>
      </c>
    </row>
    <row r="16" spans="1:29" ht="10.5" customHeight="1" x14ac:dyDescent="0.25">
      <c r="D16">
        <v>16</v>
      </c>
      <c r="G16">
        <v>66</v>
      </c>
      <c r="K16">
        <v>16</v>
      </c>
      <c r="N16">
        <v>66</v>
      </c>
    </row>
    <row r="17" spans="4:27" ht="10.5" customHeight="1" x14ac:dyDescent="0.25">
      <c r="D17">
        <v>17</v>
      </c>
      <c r="G17">
        <v>67</v>
      </c>
      <c r="K17">
        <v>17</v>
      </c>
      <c r="N17">
        <v>67</v>
      </c>
    </row>
    <row r="18" spans="4:27" ht="10.5" customHeight="1" x14ac:dyDescent="0.25">
      <c r="D18">
        <v>18</v>
      </c>
      <c r="G18">
        <v>68</v>
      </c>
      <c r="K18">
        <v>18</v>
      </c>
      <c r="N18">
        <v>68</v>
      </c>
    </row>
    <row r="19" spans="4:27" ht="10.5" customHeight="1" x14ac:dyDescent="0.25">
      <c r="D19">
        <v>19</v>
      </c>
      <c r="G19">
        <v>69</v>
      </c>
      <c r="K19">
        <v>19</v>
      </c>
      <c r="N19">
        <v>69</v>
      </c>
    </row>
    <row r="20" spans="4:27" ht="10.5" customHeight="1" x14ac:dyDescent="0.25">
      <c r="D20">
        <v>20</v>
      </c>
      <c r="G20">
        <v>70</v>
      </c>
      <c r="K20">
        <v>20</v>
      </c>
      <c r="N20">
        <v>70</v>
      </c>
      <c r="U20">
        <v>29</v>
      </c>
      <c r="V20">
        <v>60053</v>
      </c>
      <c r="W20" t="s">
        <v>534</v>
      </c>
    </row>
    <row r="21" spans="4:27" ht="10.5" customHeight="1" x14ac:dyDescent="0.25">
      <c r="D21">
        <v>21</v>
      </c>
      <c r="G21">
        <v>71</v>
      </c>
      <c r="K21">
        <v>21</v>
      </c>
      <c r="N21">
        <v>71</v>
      </c>
      <c r="T21" t="s">
        <v>536</v>
      </c>
      <c r="U21">
        <v>30</v>
      </c>
      <c r="V21">
        <v>61364</v>
      </c>
      <c r="W21" t="s">
        <v>535</v>
      </c>
    </row>
    <row r="22" spans="4:27" ht="10.5" customHeight="1" x14ac:dyDescent="0.25">
      <c r="D22">
        <v>22</v>
      </c>
      <c r="G22">
        <v>72</v>
      </c>
      <c r="K22">
        <v>22</v>
      </c>
      <c r="N22">
        <v>72</v>
      </c>
      <c r="U22">
        <v>31</v>
      </c>
      <c r="V22">
        <v>62066</v>
      </c>
      <c r="W22" t="s">
        <v>533</v>
      </c>
    </row>
    <row r="23" spans="4:27" ht="10.5" customHeight="1" x14ac:dyDescent="0.25">
      <c r="D23">
        <v>23</v>
      </c>
      <c r="G23">
        <v>73</v>
      </c>
      <c r="K23">
        <v>23</v>
      </c>
      <c r="N23">
        <v>73</v>
      </c>
      <c r="U23">
        <v>31</v>
      </c>
      <c r="V23">
        <v>60799</v>
      </c>
      <c r="W23" t="s">
        <v>532</v>
      </c>
    </row>
    <row r="24" spans="4:27" ht="10.5" customHeight="1" x14ac:dyDescent="0.25">
      <c r="D24">
        <v>24</v>
      </c>
      <c r="G24">
        <v>74</v>
      </c>
      <c r="K24">
        <v>24</v>
      </c>
      <c r="N24">
        <v>74</v>
      </c>
      <c r="U24">
        <v>32</v>
      </c>
      <c r="V24">
        <v>61364</v>
      </c>
      <c r="W24" t="s">
        <v>535</v>
      </c>
    </row>
    <row r="25" spans="4:27" ht="10.5" customHeight="1" x14ac:dyDescent="0.25">
      <c r="D25">
        <v>25</v>
      </c>
      <c r="G25">
        <v>75</v>
      </c>
      <c r="K25">
        <v>25</v>
      </c>
      <c r="N25">
        <v>75</v>
      </c>
    </row>
    <row r="26" spans="4:27" ht="10.5" customHeight="1" x14ac:dyDescent="0.25">
      <c r="D26">
        <v>26</v>
      </c>
      <c r="G26">
        <v>76</v>
      </c>
      <c r="K26">
        <v>26</v>
      </c>
      <c r="N26">
        <v>76</v>
      </c>
      <c r="Z26">
        <v>8</v>
      </c>
      <c r="AA26">
        <v>39</v>
      </c>
    </row>
    <row r="27" spans="4:27" ht="10.5" customHeight="1" x14ac:dyDescent="0.25">
      <c r="D27">
        <v>27</v>
      </c>
      <c r="G27">
        <v>77</v>
      </c>
      <c r="K27">
        <v>27</v>
      </c>
      <c r="L27">
        <v>59869</v>
      </c>
      <c r="M27">
        <f>L27/27</f>
        <v>2217.3703703703704</v>
      </c>
      <c r="N27">
        <v>77</v>
      </c>
      <c r="S27">
        <v>2</v>
      </c>
      <c r="T27">
        <v>6</v>
      </c>
      <c r="U27">
        <v>31</v>
      </c>
      <c r="V27">
        <v>61400</v>
      </c>
      <c r="W27" t="s">
        <v>532</v>
      </c>
      <c r="AA27">
        <v>43</v>
      </c>
    </row>
    <row r="28" spans="4:27" ht="10.5" customHeight="1" x14ac:dyDescent="0.25">
      <c r="D28">
        <v>28</v>
      </c>
      <c r="G28">
        <v>78</v>
      </c>
      <c r="K28">
        <v>28</v>
      </c>
      <c r="N28">
        <v>78</v>
      </c>
      <c r="S28">
        <v>3</v>
      </c>
      <c r="T28">
        <v>7</v>
      </c>
      <c r="U28">
        <v>31</v>
      </c>
      <c r="V28">
        <v>61542</v>
      </c>
      <c r="W28" t="s">
        <v>532</v>
      </c>
      <c r="AA28">
        <v>48</v>
      </c>
    </row>
    <row r="29" spans="4:27" ht="10.5" customHeight="1" x14ac:dyDescent="0.25">
      <c r="D29">
        <v>29</v>
      </c>
      <c r="G29">
        <v>79</v>
      </c>
      <c r="K29">
        <v>29</v>
      </c>
      <c r="N29">
        <v>79</v>
      </c>
      <c r="S29">
        <v>2</v>
      </c>
      <c r="T29">
        <v>5</v>
      </c>
      <c r="U29">
        <v>31</v>
      </c>
      <c r="V29">
        <v>60799</v>
      </c>
      <c r="AA29">
        <v>53</v>
      </c>
    </row>
    <row r="30" spans="4:27" ht="10.5" customHeight="1" x14ac:dyDescent="0.25">
      <c r="D30">
        <v>30</v>
      </c>
      <c r="G30">
        <v>80</v>
      </c>
      <c r="K30">
        <v>30</v>
      </c>
      <c r="N30">
        <v>80</v>
      </c>
      <c r="AA30">
        <v>65</v>
      </c>
    </row>
    <row r="31" spans="4:27" ht="10.5" customHeight="1" x14ac:dyDescent="0.25">
      <c r="D31">
        <v>31</v>
      </c>
      <c r="G31">
        <v>81</v>
      </c>
      <c r="K31">
        <v>31</v>
      </c>
      <c r="L31">
        <v>62066</v>
      </c>
      <c r="N31">
        <v>81</v>
      </c>
      <c r="O31">
        <v>90519</v>
      </c>
      <c r="P31">
        <f>O31/N31</f>
        <v>1117.5185185185185</v>
      </c>
      <c r="AA31">
        <v>69</v>
      </c>
    </row>
    <row r="32" spans="4:27" ht="10.5" customHeight="1" x14ac:dyDescent="0.25">
      <c r="D32">
        <v>32</v>
      </c>
      <c r="G32">
        <v>82</v>
      </c>
      <c r="K32">
        <v>32</v>
      </c>
      <c r="L32">
        <v>68109</v>
      </c>
      <c r="N32">
        <v>82</v>
      </c>
    </row>
    <row r="33" spans="4:15" ht="10.5" customHeight="1" x14ac:dyDescent="0.25">
      <c r="D33">
        <v>33</v>
      </c>
      <c r="G33">
        <v>83</v>
      </c>
      <c r="K33">
        <v>33</v>
      </c>
      <c r="N33">
        <v>83</v>
      </c>
    </row>
    <row r="34" spans="4:15" ht="10.5" customHeight="1" x14ac:dyDescent="0.25">
      <c r="D34">
        <v>34</v>
      </c>
      <c r="G34">
        <v>84</v>
      </c>
      <c r="K34">
        <v>34</v>
      </c>
      <c r="N34">
        <v>84</v>
      </c>
    </row>
    <row r="35" spans="4:15" ht="10.5" customHeight="1" x14ac:dyDescent="0.25">
      <c r="D35">
        <v>35</v>
      </c>
      <c r="G35">
        <v>85</v>
      </c>
      <c r="K35">
        <v>35</v>
      </c>
      <c r="L35">
        <v>61364</v>
      </c>
      <c r="N35">
        <v>85</v>
      </c>
    </row>
    <row r="36" spans="4:15" ht="10.5" customHeight="1" x14ac:dyDescent="0.25">
      <c r="D36">
        <v>36</v>
      </c>
      <c r="G36">
        <v>86</v>
      </c>
      <c r="K36">
        <v>36</v>
      </c>
      <c r="N36">
        <v>86</v>
      </c>
    </row>
    <row r="37" spans="4:15" ht="10.5" customHeight="1" x14ac:dyDescent="0.25">
      <c r="D37">
        <v>37</v>
      </c>
      <c r="G37">
        <v>87</v>
      </c>
      <c r="K37">
        <v>37</v>
      </c>
      <c r="N37">
        <v>87</v>
      </c>
    </row>
    <row r="38" spans="4:15" ht="10.5" customHeight="1" x14ac:dyDescent="0.25">
      <c r="D38">
        <v>38</v>
      </c>
      <c r="G38">
        <v>88</v>
      </c>
      <c r="K38">
        <v>38</v>
      </c>
      <c r="N38">
        <v>88</v>
      </c>
    </row>
    <row r="39" spans="4:15" ht="10.5" customHeight="1" x14ac:dyDescent="0.25">
      <c r="D39">
        <v>39</v>
      </c>
      <c r="G39">
        <v>89</v>
      </c>
      <c r="K39">
        <v>39</v>
      </c>
      <c r="N39">
        <v>89</v>
      </c>
    </row>
    <row r="40" spans="4:15" ht="10.5" customHeight="1" x14ac:dyDescent="0.25">
      <c r="D40">
        <v>40</v>
      </c>
      <c r="G40">
        <v>90</v>
      </c>
      <c r="K40">
        <v>40</v>
      </c>
      <c r="N40">
        <v>90</v>
      </c>
    </row>
    <row r="41" spans="4:15" ht="10.5" customHeight="1" x14ac:dyDescent="0.25">
      <c r="D41">
        <v>41</v>
      </c>
      <c r="G41">
        <v>91</v>
      </c>
      <c r="K41">
        <v>41</v>
      </c>
      <c r="N41">
        <v>91</v>
      </c>
    </row>
    <row r="42" spans="4:15" ht="10.5" customHeight="1" x14ac:dyDescent="0.25">
      <c r="D42">
        <v>42</v>
      </c>
      <c r="G42">
        <v>92</v>
      </c>
      <c r="K42">
        <v>42</v>
      </c>
      <c r="N42">
        <v>92</v>
      </c>
    </row>
    <row r="43" spans="4:15" ht="10.5" customHeight="1" x14ac:dyDescent="0.25">
      <c r="D43">
        <v>43</v>
      </c>
      <c r="G43">
        <v>93</v>
      </c>
      <c r="K43">
        <v>43</v>
      </c>
      <c r="N43">
        <v>93</v>
      </c>
    </row>
    <row r="44" spans="4:15" ht="10.5" customHeight="1" x14ac:dyDescent="0.25">
      <c r="D44">
        <v>44</v>
      </c>
      <c r="G44">
        <v>94</v>
      </c>
      <c r="K44">
        <v>44</v>
      </c>
      <c r="N44">
        <v>94</v>
      </c>
      <c r="O44">
        <v>87740</v>
      </c>
    </row>
    <row r="45" spans="4:15" ht="10.5" customHeight="1" x14ac:dyDescent="0.25">
      <c r="D45">
        <v>45</v>
      </c>
      <c r="G45">
        <v>95</v>
      </c>
      <c r="K45">
        <v>45</v>
      </c>
      <c r="N45">
        <v>95</v>
      </c>
    </row>
    <row r="46" spans="4:15" ht="10.5" customHeight="1" x14ac:dyDescent="0.25">
      <c r="D46">
        <v>46</v>
      </c>
      <c r="G46">
        <v>96</v>
      </c>
      <c r="K46">
        <v>46</v>
      </c>
      <c r="N46">
        <v>96</v>
      </c>
    </row>
    <row r="47" spans="4:15" ht="10.5" customHeight="1" x14ac:dyDescent="0.25">
      <c r="D47">
        <v>47</v>
      </c>
      <c r="G47">
        <v>97</v>
      </c>
      <c r="K47">
        <v>47</v>
      </c>
      <c r="N47">
        <v>97</v>
      </c>
    </row>
    <row r="48" spans="4:15" ht="10.5" customHeight="1" x14ac:dyDescent="0.25">
      <c r="D48">
        <v>48</v>
      </c>
      <c r="G48">
        <v>98</v>
      </c>
      <c r="K48">
        <v>48</v>
      </c>
      <c r="N48">
        <v>98</v>
      </c>
    </row>
    <row r="49" spans="4:14" ht="10.5" customHeight="1" x14ac:dyDescent="0.25">
      <c r="D49">
        <v>49</v>
      </c>
      <c r="G49">
        <v>99</v>
      </c>
      <c r="K49">
        <v>49</v>
      </c>
      <c r="N49">
        <v>99</v>
      </c>
    </row>
    <row r="50" spans="4:14" ht="10.5" customHeight="1" x14ac:dyDescent="0.25">
      <c r="D50">
        <v>50</v>
      </c>
      <c r="G50">
        <v>100</v>
      </c>
      <c r="K50">
        <v>50</v>
      </c>
      <c r="N50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Техника</vt:lpstr>
      <vt:lpstr>Лист1</vt:lpstr>
      <vt:lpstr>Feed</vt:lpstr>
      <vt:lpstr>Штабы</vt:lpstr>
      <vt:lpstr>Money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Senkov</dc:creator>
  <cp:lastModifiedBy>Sergey Senkov</cp:lastModifiedBy>
  <dcterms:created xsi:type="dcterms:W3CDTF">2013-09-20T11:10:19Z</dcterms:created>
  <dcterms:modified xsi:type="dcterms:W3CDTF">2013-11-15T11:26:58Z</dcterms:modified>
</cp:coreProperties>
</file>