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Dropbox\!Wot\VBA\"/>
    </mc:Choice>
  </mc:AlternateContent>
  <bookViews>
    <workbookView xWindow="0" yWindow="0" windowWidth="19245" windowHeight="4605" activeTab="3"/>
  </bookViews>
  <sheets>
    <sheet name="Money" sheetId="2" r:id="rId1"/>
    <sheet name="deck_builder" sheetId="4" r:id="rId2"/>
    <sheet name="t_decks" sheetId="5" r:id="rId3"/>
    <sheet name="Mana" sheetId="3" r:id="rId4"/>
  </sheet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" i="4" l="1"/>
  <c r="I15" i="4"/>
  <c r="I16" i="4"/>
  <c r="I17" i="4"/>
  <c r="I18" i="4"/>
  <c r="I19" i="4"/>
  <c r="I20" i="4"/>
  <c r="I21" i="4"/>
  <c r="I22" i="4"/>
  <c r="I23" i="4"/>
  <c r="I14" i="4"/>
  <c r="I25" i="4" l="1"/>
  <c r="F2" i="2"/>
  <c r="M2" i="2"/>
  <c r="F3" i="2"/>
  <c r="M3" i="2"/>
  <c r="F4" i="2"/>
  <c r="M4" i="2"/>
  <c r="AB4" i="2"/>
  <c r="F5" i="2"/>
  <c r="M5" i="2"/>
  <c r="F6" i="2"/>
  <c r="M6" i="2"/>
  <c r="F7" i="2"/>
  <c r="M7" i="2"/>
  <c r="F8" i="2"/>
  <c r="M8" i="2"/>
  <c r="F9" i="2"/>
  <c r="M9" i="2"/>
  <c r="F13" i="2"/>
  <c r="M27" i="2"/>
  <c r="P31" i="2"/>
</calcChain>
</file>

<file path=xl/sharedStrings.xml><?xml version="1.0" encoding="utf-8"?>
<sst xmlns="http://schemas.openxmlformats.org/spreadsheetml/2006/main" count="145" uniqueCount="111">
  <si>
    <t>wint</t>
  </si>
  <si>
    <t>med</t>
  </si>
  <si>
    <t>polit</t>
  </si>
  <si>
    <t>+</t>
  </si>
  <si>
    <t>бдит</t>
  </si>
  <si>
    <t>1+5</t>
  </si>
  <si>
    <t>2+7</t>
  </si>
  <si>
    <t>0+1+2</t>
  </si>
  <si>
    <t>2+1+2</t>
  </si>
  <si>
    <t>я декнулся</t>
  </si>
  <si>
    <t>4+6</t>
  </si>
  <si>
    <t>получ мюнх</t>
  </si>
  <si>
    <t>70ходо соп декнулся</t>
  </si>
  <si>
    <t>6+3</t>
  </si>
  <si>
    <t>соп сдался</t>
  </si>
  <si>
    <t>3+2</t>
  </si>
  <si>
    <t>Танковая дивизия «Клаузевиц»#gh_divisionclausewitz,gv_pzkpfwIIluchs#2,so_budbditelnym#1,up_mortarsof17division#1,go_vaterlandodertod#3,gv_jagdpze100#2,gp_nachschubzugder9pd#3,uo_thekeytothesituation#3,go_arbeitedufuerdensieg#3,go_winterhifswerk#3,gv_pzkpfwVIbtigerII#1,gv_gwtypee#1,go_politruklzhet#3,go_deutchlandbefreiung#2,go_derstirnderfaust#2,gv_lowe#2,uo_thismanisyoufriend#3,gv_maus#3,gp_feldmedizinerder14pd#2</t>
  </si>
  <si>
    <t>tHd</t>
  </si>
  <si>
    <t>Танковая дивизия «Мюнхеберг»#gh_pzgrmuncheberg,sv_kv1#1,so_nashedelopravoevragbudetrazbit#1,sp_pogranichniki12dagectanskoidivizii#1,gv_vk3002(db)#1,sp_saperiukrainskogofronta#1,gv_pzkpfws35739f#3,sv_a32#3,sv_su152#1,sv_is6#2,gv_hummel#2,gv_jagdtiger#1,gv_pzkpfwVIbtigerII#1,go_rauftdeutcheware#3,gv_jagdpanther#1,gv_ferdinand#2,gp_bauzugderpdmuncheberg#2,gv_88pak43jagdtiger#3,gv_lowe#3,gv_gwtiger#1,sv_s51#2,gv_gwpanther#2,gv_pzkpfwVItiger#1,gp_feldmedizinerder14pd#2</t>
  </si>
  <si>
    <t>Level</t>
  </si>
  <si>
    <t>Cost</t>
  </si>
  <si>
    <t>Value</t>
  </si>
  <si>
    <t>Stirn 36</t>
  </si>
  <si>
    <t>Танковая дивизия «Клаузевиц»#gh_divisionclausewitz,sv_ob212#1,up_mortarsof17division#3,sp_saperiukrainskogofronta#3,go_arbeitedufuerdensieg#3,sv_ob704#1,gv_jagdtiger#1,gv_pzkpfwVIbtigerII#2,gv_gwtypee#1,gv_pzkpfwVpanther#3,up_sniperplatoonofthe82division#3,up_telephonistsofexpeditionaryforces#1,sp_strelkiuzhnogofronta#1,sv_ob261#3,up_fieldsignalersofcontinentalarmy#3,go_derstirnderfaust#3,gv_pzkpfw5panther2#1,gv_maus#3,gv_gwtiger#3,gp_auskundschaftersderpdmuncheberg#1</t>
  </si>
  <si>
    <t>Танковая дивизия «Клаузевиц»#gh_divisionclausewitz,up_mortarsof17division#3,sp_saperiukrainskogofronta#3,go_arbeitedufuerdensieg#3,gv_gwtypee#1,gv_pzkpfwVpanther#3,up_sniperplatoonofthe82division#3,up_telephonistsofexpeditionaryforces#3,sp_strelkiuzhnogofronta#3,sv_ob261#2,up_fieldsignalersofcontinentalarmy#3,go_derstirnderfaust#3,gv_pzkpfw5panther2#1,gv_maus#3,gv_gwtiger#2,gp_auskundschaftersderpdmuncheberg#3,sv_ob268#1</t>
  </si>
  <si>
    <t>Signalers CA</t>
  </si>
  <si>
    <t>Usa</t>
  </si>
  <si>
    <t>VD</t>
  </si>
  <si>
    <t>+1m</t>
  </si>
  <si>
    <t>Mark</t>
  </si>
  <si>
    <t>Name</t>
  </si>
  <si>
    <t>Nation</t>
  </si>
  <si>
    <t>Type</t>
  </si>
  <si>
    <t>Dmg</t>
  </si>
  <si>
    <t>Hp</t>
  </si>
  <si>
    <t>Mana</t>
  </si>
  <si>
    <t>Ценность</t>
  </si>
  <si>
    <t>cDm</t>
  </si>
  <si>
    <t>cHp</t>
  </si>
  <si>
    <t>cm</t>
  </si>
  <si>
    <t>cDm+cm</t>
  </si>
  <si>
    <t>Dm+m</t>
  </si>
  <si>
    <t>Dm+m/балансный вес</t>
  </si>
  <si>
    <t>cD+H</t>
  </si>
  <si>
    <t>Bonus</t>
  </si>
  <si>
    <t>Rus</t>
  </si>
  <si>
    <t>Nazi</t>
  </si>
  <si>
    <t>Сводный</t>
  </si>
  <si>
    <t>Ударный</t>
  </si>
  <si>
    <t>Тыловой</t>
  </si>
  <si>
    <t>Pershing</t>
  </si>
  <si>
    <t>St</t>
  </si>
  <si>
    <t>P</t>
  </si>
  <si>
    <t>M</t>
  </si>
  <si>
    <t>(te) +2H</t>
  </si>
  <si>
    <t>Prem</t>
  </si>
  <si>
    <t>JgTiger88</t>
  </si>
  <si>
    <t>Pt</t>
  </si>
  <si>
    <t>(xdH) -xc</t>
  </si>
  <si>
    <t>Типы карт</t>
  </si>
  <si>
    <t>1</t>
  </si>
  <si>
    <t>0</t>
  </si>
  <si>
    <t>T32</t>
  </si>
  <si>
    <t>T</t>
  </si>
  <si>
    <t>-1dV</t>
  </si>
  <si>
    <t>Ag</t>
  </si>
  <si>
    <t>L</t>
  </si>
  <si>
    <t>Легкий Танк</t>
  </si>
  <si>
    <t>2</t>
  </si>
  <si>
    <t>T110E5</t>
  </si>
  <si>
    <t>D</t>
  </si>
  <si>
    <t>+1dN</t>
  </si>
  <si>
    <t>resp middle</t>
  </si>
  <si>
    <t>Средний Танк</t>
  </si>
  <si>
    <t>3</t>
  </si>
  <si>
    <t>5, 6A</t>
  </si>
  <si>
    <t>12,6</t>
  </si>
  <si>
    <t>T-28</t>
  </si>
  <si>
    <t>+3h</t>
  </si>
  <si>
    <t>Тяжелый Танк</t>
  </si>
  <si>
    <t>4</t>
  </si>
  <si>
    <t>15</t>
  </si>
  <si>
    <t>29,5</t>
  </si>
  <si>
    <t>Wolverine</t>
  </si>
  <si>
    <t>+2m</t>
  </si>
  <si>
    <t>ПТ-САУ</t>
  </si>
  <si>
    <t>5</t>
  </si>
  <si>
    <t>45</t>
  </si>
  <si>
    <t>63,7</t>
  </si>
  <si>
    <t>A-32</t>
  </si>
  <si>
    <t>(g) +1C</t>
  </si>
  <si>
    <t>(g) +4H</t>
  </si>
  <si>
    <t>A</t>
  </si>
  <si>
    <t>АРТ-САУ</t>
  </si>
  <si>
    <t>6</t>
  </si>
  <si>
    <t>100</t>
  </si>
  <si>
    <t>T14</t>
  </si>
  <si>
    <t>Tn</t>
  </si>
  <si>
    <t>Техника</t>
  </si>
  <si>
    <t>7</t>
  </si>
  <si>
    <t>166</t>
  </si>
  <si>
    <t>M6</t>
  </si>
  <si>
    <t>S</t>
  </si>
  <si>
    <t>приказ</t>
  </si>
  <si>
    <t>8</t>
  </si>
  <si>
    <t>280</t>
  </si>
  <si>
    <t>T40</t>
  </si>
  <si>
    <t>V (D/A)</t>
  </si>
  <si>
    <t>взвод (Защ/Атак)</t>
  </si>
  <si>
    <t>9</t>
  </si>
  <si>
    <t>546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</si>
</sst>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sz val="14"/>
      <color rgb="FF000000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/>
    <xf numFmtId="0" fontId="1" fillId="0" borderId="0" xfId="0" applyFont="1" applyFill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U50"/>
  <sheetViews>
    <sheetView topLeftCell="B1" workbookViewId="0">
      <selection activeCell="C23" sqref="C23"/>
    </sheetView>
  </sheetViews>
  <sheetFormatPr defaultRowHeight="10.5" customHeight="1" x14ac:dyDescent="0.25"/>
  <cols>
    <col min="12" max="25" width="9.140625" style="1"/>
    <col min="26" max="26" width="17.7109375" style="1" customWidth="1"/>
    <col min="27" max="47" width="9.140625" style="1"/>
  </cols>
  <sheetData>
    <row r="1" spans="1:29" ht="10.5" customHeight="1" x14ac:dyDescent="0.3">
      <c r="A1" s="3" t="s">
        <v>18</v>
      </c>
      <c r="D1">
        <v>1</v>
      </c>
      <c r="E1">
        <v>2939</v>
      </c>
      <c r="G1">
        <v>51</v>
      </c>
      <c r="K1">
        <v>1</v>
      </c>
      <c r="L1" s="1">
        <v>3264</v>
      </c>
      <c r="N1" s="1">
        <v>51</v>
      </c>
      <c r="R1" s="1" t="s">
        <v>17</v>
      </c>
    </row>
    <row r="2" spans="1:29" ht="10.5" customHeight="1" x14ac:dyDescent="0.3">
      <c r="A2" s="3" t="s">
        <v>16</v>
      </c>
      <c r="D2">
        <v>2</v>
      </c>
      <c r="E2">
        <v>5127</v>
      </c>
      <c r="F2">
        <f t="shared" ref="F2:F9" si="0">E2-E1</f>
        <v>2188</v>
      </c>
      <c r="G2">
        <v>52</v>
      </c>
      <c r="K2">
        <v>2</v>
      </c>
      <c r="M2" s="1">
        <f t="shared" ref="M2:M9" si="1">L2-L1</f>
        <v>-3264</v>
      </c>
      <c r="N2" s="1">
        <v>52</v>
      </c>
      <c r="R2" s="1" t="s">
        <v>15</v>
      </c>
      <c r="S2" s="1">
        <v>7574</v>
      </c>
      <c r="T2" s="1">
        <v>-25874</v>
      </c>
      <c r="Z2" s="1" t="s">
        <v>14</v>
      </c>
      <c r="AA2" s="1">
        <v>59869</v>
      </c>
      <c r="AC2" s="1" t="s">
        <v>3</v>
      </c>
    </row>
    <row r="3" spans="1:29" ht="10.5" customHeight="1" x14ac:dyDescent="0.25">
      <c r="D3">
        <v>3</v>
      </c>
      <c r="E3">
        <v>7574</v>
      </c>
      <c r="F3">
        <f t="shared" si="0"/>
        <v>2447</v>
      </c>
      <c r="G3">
        <v>53</v>
      </c>
      <c r="K3">
        <v>3</v>
      </c>
      <c r="L3" s="1">
        <v>9424</v>
      </c>
      <c r="M3" s="1">
        <f t="shared" si="1"/>
        <v>9424</v>
      </c>
      <c r="N3" s="1">
        <v>53</v>
      </c>
      <c r="R3" s="1" t="s">
        <v>13</v>
      </c>
      <c r="S3" s="1">
        <v>14449</v>
      </c>
      <c r="Z3" s="1" t="s">
        <v>12</v>
      </c>
      <c r="AA3" s="1">
        <v>59869</v>
      </c>
    </row>
    <row r="4" spans="1:29" ht="10.5" customHeight="1" x14ac:dyDescent="0.25">
      <c r="B4" t="s">
        <v>11</v>
      </c>
      <c r="D4">
        <v>4</v>
      </c>
      <c r="E4">
        <v>9944</v>
      </c>
      <c r="F4">
        <f t="shared" si="0"/>
        <v>2370</v>
      </c>
      <c r="G4">
        <v>54</v>
      </c>
      <c r="K4">
        <v>4</v>
      </c>
      <c r="M4" s="1">
        <f t="shared" si="1"/>
        <v>-9424</v>
      </c>
      <c r="N4" s="1">
        <v>54</v>
      </c>
      <c r="R4" s="1" t="s">
        <v>10</v>
      </c>
      <c r="S4" s="1">
        <v>17739</v>
      </c>
      <c r="U4" s="2"/>
      <c r="Z4" s="1" t="s">
        <v>9</v>
      </c>
      <c r="AA4" s="1">
        <v>65414</v>
      </c>
      <c r="AB4" s="1">
        <f>AA4/3</f>
        <v>21804.666666666668</v>
      </c>
    </row>
    <row r="5" spans="1:29" ht="10.5" customHeight="1" x14ac:dyDescent="0.25">
      <c r="D5">
        <v>5</v>
      </c>
      <c r="E5">
        <v>12235</v>
      </c>
      <c r="F5">
        <f t="shared" si="0"/>
        <v>2291</v>
      </c>
      <c r="G5">
        <v>55</v>
      </c>
      <c r="K5">
        <v>5</v>
      </c>
      <c r="L5" s="1">
        <v>15090</v>
      </c>
      <c r="M5" s="1">
        <f t="shared" si="1"/>
        <v>15090</v>
      </c>
      <c r="N5" s="1">
        <v>55</v>
      </c>
      <c r="R5" s="1" t="s">
        <v>8</v>
      </c>
      <c r="S5" s="1">
        <v>5127</v>
      </c>
    </row>
    <row r="6" spans="1:29" ht="10.5" customHeight="1" x14ac:dyDescent="0.25">
      <c r="D6">
        <v>6</v>
      </c>
      <c r="E6">
        <v>14449</v>
      </c>
      <c r="F6">
        <f t="shared" si="0"/>
        <v>2214</v>
      </c>
      <c r="G6">
        <v>56</v>
      </c>
      <c r="K6">
        <v>6</v>
      </c>
      <c r="L6" s="1">
        <v>17739</v>
      </c>
      <c r="M6" s="1">
        <f t="shared" si="1"/>
        <v>2649</v>
      </c>
      <c r="N6" s="1">
        <v>56</v>
      </c>
      <c r="R6" s="1" t="s">
        <v>7</v>
      </c>
      <c r="S6" s="1">
        <v>3264</v>
      </c>
    </row>
    <row r="7" spans="1:29" ht="10.5" customHeight="1" x14ac:dyDescent="0.25">
      <c r="D7">
        <v>7</v>
      </c>
      <c r="F7">
        <f t="shared" si="0"/>
        <v>-14449</v>
      </c>
      <c r="G7">
        <v>57</v>
      </c>
      <c r="K7">
        <v>7</v>
      </c>
      <c r="L7" s="1">
        <v>21239</v>
      </c>
      <c r="M7" s="1">
        <f t="shared" si="1"/>
        <v>3500</v>
      </c>
      <c r="N7" s="1">
        <v>57</v>
      </c>
      <c r="R7" s="1" t="s">
        <v>6</v>
      </c>
      <c r="S7" s="1">
        <v>21239</v>
      </c>
    </row>
    <row r="8" spans="1:29" ht="10.5" customHeight="1" x14ac:dyDescent="0.25">
      <c r="D8">
        <v>8</v>
      </c>
      <c r="F8">
        <f t="shared" si="0"/>
        <v>0</v>
      </c>
      <c r="G8">
        <v>58</v>
      </c>
      <c r="K8">
        <v>8</v>
      </c>
      <c r="M8" s="1">
        <f t="shared" si="1"/>
        <v>-21239</v>
      </c>
      <c r="N8" s="1">
        <v>58</v>
      </c>
      <c r="R8" s="1" t="s">
        <v>5</v>
      </c>
      <c r="S8" s="1">
        <v>15090</v>
      </c>
    </row>
    <row r="9" spans="1:29" ht="10.5" customHeight="1" x14ac:dyDescent="0.25">
      <c r="D9">
        <v>9</v>
      </c>
      <c r="F9">
        <f t="shared" si="0"/>
        <v>0</v>
      </c>
      <c r="G9">
        <v>59</v>
      </c>
      <c r="K9">
        <v>9</v>
      </c>
      <c r="L9" s="1">
        <v>24945</v>
      </c>
      <c r="M9" s="1">
        <f t="shared" si="1"/>
        <v>24945</v>
      </c>
      <c r="N9" s="1">
        <v>59</v>
      </c>
    </row>
    <row r="10" spans="1:29" ht="10.5" customHeight="1" x14ac:dyDescent="0.25">
      <c r="D10">
        <v>10</v>
      </c>
      <c r="G10">
        <v>60</v>
      </c>
      <c r="K10">
        <v>10</v>
      </c>
      <c r="N10" s="1">
        <v>60</v>
      </c>
    </row>
    <row r="11" spans="1:29" ht="10.5" customHeight="1" x14ac:dyDescent="0.25">
      <c r="D11">
        <v>11</v>
      </c>
      <c r="G11">
        <v>61</v>
      </c>
      <c r="K11">
        <v>11</v>
      </c>
      <c r="N11" s="1">
        <v>61</v>
      </c>
    </row>
    <row r="12" spans="1:29" ht="10.5" customHeight="1" x14ac:dyDescent="0.25">
      <c r="D12">
        <v>12</v>
      </c>
      <c r="G12">
        <v>62</v>
      </c>
      <c r="K12">
        <v>12</v>
      </c>
      <c r="N12" s="1">
        <v>62</v>
      </c>
    </row>
    <row r="13" spans="1:29" ht="10.5" customHeight="1" x14ac:dyDescent="0.25">
      <c r="D13">
        <v>13</v>
      </c>
      <c r="E13">
        <v>28233</v>
      </c>
      <c r="F13">
        <f>E13/D13</f>
        <v>2171.7692307692309</v>
      </c>
      <c r="G13">
        <v>63</v>
      </c>
      <c r="K13">
        <v>13</v>
      </c>
      <c r="N13" s="1">
        <v>63</v>
      </c>
    </row>
    <row r="14" spans="1:29" ht="10.5" customHeight="1" x14ac:dyDescent="0.25">
      <c r="D14">
        <v>14</v>
      </c>
      <c r="G14">
        <v>64</v>
      </c>
      <c r="K14">
        <v>14</v>
      </c>
      <c r="N14" s="1">
        <v>64</v>
      </c>
    </row>
    <row r="15" spans="1:29" ht="10.5" customHeight="1" x14ac:dyDescent="0.25">
      <c r="D15">
        <v>15</v>
      </c>
      <c r="G15">
        <v>65</v>
      </c>
      <c r="K15">
        <v>15</v>
      </c>
      <c r="N15" s="1">
        <v>65</v>
      </c>
    </row>
    <row r="16" spans="1:29" ht="10.5" customHeight="1" x14ac:dyDescent="0.25">
      <c r="D16">
        <v>16</v>
      </c>
      <c r="G16">
        <v>66</v>
      </c>
      <c r="K16">
        <v>16</v>
      </c>
      <c r="N16" s="1">
        <v>66</v>
      </c>
    </row>
    <row r="17" spans="4:27" ht="10.5" customHeight="1" x14ac:dyDescent="0.25">
      <c r="D17">
        <v>17</v>
      </c>
      <c r="G17">
        <v>67</v>
      </c>
      <c r="K17">
        <v>17</v>
      </c>
      <c r="N17" s="1">
        <v>67</v>
      </c>
    </row>
    <row r="18" spans="4:27" ht="10.5" customHeight="1" x14ac:dyDescent="0.25">
      <c r="D18">
        <v>18</v>
      </c>
      <c r="G18">
        <v>68</v>
      </c>
      <c r="K18">
        <v>18</v>
      </c>
      <c r="N18" s="1">
        <v>68</v>
      </c>
    </row>
    <row r="19" spans="4:27" ht="10.5" customHeight="1" x14ac:dyDescent="0.25">
      <c r="D19">
        <v>19</v>
      </c>
      <c r="G19">
        <v>69</v>
      </c>
      <c r="K19">
        <v>19</v>
      </c>
      <c r="N19" s="1">
        <v>69</v>
      </c>
    </row>
    <row r="20" spans="4:27" ht="10.5" customHeight="1" x14ac:dyDescent="0.25">
      <c r="D20">
        <v>20</v>
      </c>
      <c r="G20">
        <v>70</v>
      </c>
      <c r="K20">
        <v>20</v>
      </c>
      <c r="N20" s="1">
        <v>70</v>
      </c>
      <c r="U20" s="1">
        <v>29</v>
      </c>
      <c r="V20" s="1">
        <v>60053</v>
      </c>
      <c r="W20" s="1" t="s">
        <v>4</v>
      </c>
    </row>
    <row r="21" spans="4:27" ht="10.5" customHeight="1" x14ac:dyDescent="0.25">
      <c r="D21">
        <v>21</v>
      </c>
      <c r="G21">
        <v>71</v>
      </c>
      <c r="K21">
        <v>21</v>
      </c>
      <c r="N21" s="1">
        <v>71</v>
      </c>
      <c r="T21" s="1" t="s">
        <v>3</v>
      </c>
      <c r="U21" s="1">
        <v>30</v>
      </c>
      <c r="V21" s="1">
        <v>61364</v>
      </c>
      <c r="W21" s="1" t="s">
        <v>1</v>
      </c>
    </row>
    <row r="22" spans="4:27" ht="10.5" customHeight="1" x14ac:dyDescent="0.25">
      <c r="D22">
        <v>22</v>
      </c>
      <c r="G22">
        <v>72</v>
      </c>
      <c r="K22">
        <v>22</v>
      </c>
      <c r="N22" s="1">
        <v>72</v>
      </c>
      <c r="U22" s="1">
        <v>31</v>
      </c>
      <c r="V22" s="1">
        <v>62066</v>
      </c>
      <c r="W22" s="1" t="s">
        <v>2</v>
      </c>
    </row>
    <row r="23" spans="4:27" ht="10.5" customHeight="1" x14ac:dyDescent="0.25">
      <c r="D23">
        <v>23</v>
      </c>
      <c r="G23">
        <v>73</v>
      </c>
      <c r="K23">
        <v>23</v>
      </c>
      <c r="N23" s="1">
        <v>73</v>
      </c>
      <c r="U23" s="1">
        <v>31</v>
      </c>
      <c r="V23" s="1">
        <v>60799</v>
      </c>
      <c r="W23" s="1" t="s">
        <v>0</v>
      </c>
    </row>
    <row r="24" spans="4:27" ht="10.5" customHeight="1" x14ac:dyDescent="0.25">
      <c r="D24">
        <v>24</v>
      </c>
      <c r="G24">
        <v>74</v>
      </c>
      <c r="K24">
        <v>24</v>
      </c>
      <c r="N24" s="1">
        <v>74</v>
      </c>
      <c r="U24" s="1">
        <v>32</v>
      </c>
      <c r="V24" s="1">
        <v>61364</v>
      </c>
      <c r="W24" s="1" t="s">
        <v>1</v>
      </c>
    </row>
    <row r="25" spans="4:27" ht="10.5" customHeight="1" x14ac:dyDescent="0.25">
      <c r="D25">
        <v>25</v>
      </c>
      <c r="G25">
        <v>75</v>
      </c>
      <c r="K25">
        <v>25</v>
      </c>
      <c r="N25" s="1">
        <v>75</v>
      </c>
    </row>
    <row r="26" spans="4:27" ht="10.5" customHeight="1" x14ac:dyDescent="0.25">
      <c r="D26">
        <v>26</v>
      </c>
      <c r="G26">
        <v>76</v>
      </c>
      <c r="K26">
        <v>26</v>
      </c>
      <c r="N26" s="1">
        <v>76</v>
      </c>
      <c r="Z26" s="1">
        <v>8</v>
      </c>
      <c r="AA26" s="1">
        <v>39</v>
      </c>
    </row>
    <row r="27" spans="4:27" ht="10.5" customHeight="1" x14ac:dyDescent="0.25">
      <c r="D27">
        <v>27</v>
      </c>
      <c r="G27">
        <v>77</v>
      </c>
      <c r="K27">
        <v>27</v>
      </c>
      <c r="L27" s="1">
        <v>59869</v>
      </c>
      <c r="M27" s="1">
        <f>L27/27</f>
        <v>2217.3703703703704</v>
      </c>
      <c r="N27" s="1">
        <v>77</v>
      </c>
      <c r="S27" s="1">
        <v>2</v>
      </c>
      <c r="T27" s="1">
        <v>6</v>
      </c>
      <c r="U27" s="1">
        <v>31</v>
      </c>
      <c r="V27" s="1">
        <v>61400</v>
      </c>
      <c r="W27" s="1" t="s">
        <v>0</v>
      </c>
      <c r="AA27" s="1">
        <v>43</v>
      </c>
    </row>
    <row r="28" spans="4:27" ht="10.5" customHeight="1" x14ac:dyDescent="0.25">
      <c r="D28">
        <v>28</v>
      </c>
      <c r="G28">
        <v>78</v>
      </c>
      <c r="K28">
        <v>28</v>
      </c>
      <c r="N28" s="1">
        <v>78</v>
      </c>
      <c r="S28" s="1">
        <v>3</v>
      </c>
      <c r="T28" s="1">
        <v>7</v>
      </c>
      <c r="U28" s="1">
        <v>31</v>
      </c>
      <c r="V28" s="1">
        <v>61542</v>
      </c>
      <c r="W28" s="1" t="s">
        <v>0</v>
      </c>
      <c r="AA28" s="1">
        <v>48</v>
      </c>
    </row>
    <row r="29" spans="4:27" ht="10.5" customHeight="1" x14ac:dyDescent="0.25">
      <c r="D29">
        <v>29</v>
      </c>
      <c r="G29">
        <v>79</v>
      </c>
      <c r="K29">
        <v>29</v>
      </c>
      <c r="N29" s="1">
        <v>79</v>
      </c>
      <c r="S29" s="1">
        <v>2</v>
      </c>
      <c r="T29" s="1">
        <v>5</v>
      </c>
      <c r="U29" s="1">
        <v>31</v>
      </c>
      <c r="V29" s="1">
        <v>60799</v>
      </c>
      <c r="AA29" s="1">
        <v>53</v>
      </c>
    </row>
    <row r="30" spans="4:27" ht="10.5" customHeight="1" x14ac:dyDescent="0.25">
      <c r="D30">
        <v>30</v>
      </c>
      <c r="G30">
        <v>80</v>
      </c>
      <c r="K30">
        <v>30</v>
      </c>
      <c r="N30" s="1">
        <v>80</v>
      </c>
      <c r="AA30" s="1">
        <v>65</v>
      </c>
    </row>
    <row r="31" spans="4:27" ht="10.5" customHeight="1" x14ac:dyDescent="0.25">
      <c r="D31">
        <v>31</v>
      </c>
      <c r="G31">
        <v>81</v>
      </c>
      <c r="K31">
        <v>31</v>
      </c>
      <c r="L31" s="1">
        <v>62066</v>
      </c>
      <c r="N31" s="1">
        <v>81</v>
      </c>
      <c r="O31" s="1">
        <v>90519</v>
      </c>
      <c r="P31" s="1">
        <f>O31/N31</f>
        <v>1117.5185185185185</v>
      </c>
      <c r="AA31" s="1">
        <v>69</v>
      </c>
    </row>
    <row r="32" spans="4:27" ht="10.5" customHeight="1" x14ac:dyDescent="0.25">
      <c r="D32">
        <v>32</v>
      </c>
      <c r="G32">
        <v>82</v>
      </c>
      <c r="K32">
        <v>32</v>
      </c>
      <c r="L32" s="1">
        <v>68109</v>
      </c>
      <c r="N32" s="1">
        <v>82</v>
      </c>
    </row>
    <row r="33" spans="4:15" ht="10.5" customHeight="1" x14ac:dyDescent="0.25">
      <c r="D33">
        <v>33</v>
      </c>
      <c r="G33">
        <v>83</v>
      </c>
      <c r="K33">
        <v>33</v>
      </c>
      <c r="N33" s="1">
        <v>83</v>
      </c>
    </row>
    <row r="34" spans="4:15" ht="10.5" customHeight="1" x14ac:dyDescent="0.25">
      <c r="D34">
        <v>34</v>
      </c>
      <c r="G34">
        <v>84</v>
      </c>
      <c r="K34">
        <v>34</v>
      </c>
      <c r="N34" s="1">
        <v>84</v>
      </c>
    </row>
    <row r="35" spans="4:15" ht="10.5" customHeight="1" x14ac:dyDescent="0.25">
      <c r="D35">
        <v>35</v>
      </c>
      <c r="G35">
        <v>85</v>
      </c>
      <c r="K35">
        <v>35</v>
      </c>
      <c r="L35" s="1">
        <v>61364</v>
      </c>
      <c r="N35" s="1">
        <v>85</v>
      </c>
    </row>
    <row r="36" spans="4:15" ht="10.5" customHeight="1" x14ac:dyDescent="0.25">
      <c r="D36">
        <v>36</v>
      </c>
      <c r="G36">
        <v>86</v>
      </c>
      <c r="K36">
        <v>36</v>
      </c>
      <c r="N36" s="1">
        <v>86</v>
      </c>
    </row>
    <row r="37" spans="4:15" ht="10.5" customHeight="1" x14ac:dyDescent="0.25">
      <c r="D37">
        <v>37</v>
      </c>
      <c r="G37">
        <v>87</v>
      </c>
      <c r="K37">
        <v>37</v>
      </c>
      <c r="N37" s="1">
        <v>87</v>
      </c>
    </row>
    <row r="38" spans="4:15" ht="10.5" customHeight="1" x14ac:dyDescent="0.25">
      <c r="D38">
        <v>38</v>
      </c>
      <c r="G38">
        <v>88</v>
      </c>
      <c r="K38">
        <v>38</v>
      </c>
      <c r="N38" s="1">
        <v>88</v>
      </c>
    </row>
    <row r="39" spans="4:15" ht="10.5" customHeight="1" x14ac:dyDescent="0.25">
      <c r="D39">
        <v>39</v>
      </c>
      <c r="G39">
        <v>89</v>
      </c>
      <c r="K39">
        <v>39</v>
      </c>
      <c r="N39" s="1">
        <v>89</v>
      </c>
    </row>
    <row r="40" spans="4:15" ht="10.5" customHeight="1" x14ac:dyDescent="0.25">
      <c r="D40">
        <v>40</v>
      </c>
      <c r="G40">
        <v>90</v>
      </c>
      <c r="K40">
        <v>40</v>
      </c>
      <c r="N40" s="1">
        <v>90</v>
      </c>
    </row>
    <row r="41" spans="4:15" ht="10.5" customHeight="1" x14ac:dyDescent="0.25">
      <c r="D41">
        <v>41</v>
      </c>
      <c r="G41">
        <v>91</v>
      </c>
      <c r="K41">
        <v>41</v>
      </c>
      <c r="N41" s="1">
        <v>91</v>
      </c>
    </row>
    <row r="42" spans="4:15" ht="10.5" customHeight="1" x14ac:dyDescent="0.25">
      <c r="D42">
        <v>42</v>
      </c>
      <c r="G42">
        <v>92</v>
      </c>
      <c r="K42">
        <v>42</v>
      </c>
      <c r="N42" s="1">
        <v>92</v>
      </c>
    </row>
    <row r="43" spans="4:15" ht="10.5" customHeight="1" x14ac:dyDescent="0.25">
      <c r="D43">
        <v>43</v>
      </c>
      <c r="G43">
        <v>93</v>
      </c>
      <c r="K43">
        <v>43</v>
      </c>
      <c r="N43" s="1">
        <v>93</v>
      </c>
    </row>
    <row r="44" spans="4:15" ht="10.5" customHeight="1" x14ac:dyDescent="0.25">
      <c r="D44">
        <v>44</v>
      </c>
      <c r="G44">
        <v>94</v>
      </c>
      <c r="K44">
        <v>44</v>
      </c>
      <c r="N44" s="1">
        <v>94</v>
      </c>
      <c r="O44" s="1">
        <v>87740</v>
      </c>
    </row>
    <row r="45" spans="4:15" ht="10.5" customHeight="1" x14ac:dyDescent="0.25">
      <c r="D45">
        <v>45</v>
      </c>
      <c r="G45">
        <v>95</v>
      </c>
      <c r="K45">
        <v>45</v>
      </c>
      <c r="N45" s="1">
        <v>95</v>
      </c>
    </row>
    <row r="46" spans="4:15" ht="10.5" customHeight="1" x14ac:dyDescent="0.25">
      <c r="D46">
        <v>46</v>
      </c>
      <c r="G46">
        <v>96</v>
      </c>
      <c r="K46">
        <v>46</v>
      </c>
      <c r="N46" s="1">
        <v>96</v>
      </c>
    </row>
    <row r="47" spans="4:15" ht="10.5" customHeight="1" x14ac:dyDescent="0.25">
      <c r="D47">
        <v>47</v>
      </c>
      <c r="G47">
        <v>97</v>
      </c>
      <c r="K47">
        <v>47</v>
      </c>
      <c r="N47" s="1">
        <v>97</v>
      </c>
    </row>
    <row r="48" spans="4:15" ht="10.5" customHeight="1" x14ac:dyDescent="0.25">
      <c r="D48">
        <v>48</v>
      </c>
      <c r="G48">
        <v>98</v>
      </c>
      <c r="K48">
        <v>48</v>
      </c>
      <c r="N48" s="1">
        <v>98</v>
      </c>
    </row>
    <row r="49" spans="4:14" ht="10.5" customHeight="1" x14ac:dyDescent="0.25">
      <c r="D49">
        <v>49</v>
      </c>
      <c r="G49">
        <v>99</v>
      </c>
      <c r="K49">
        <v>49</v>
      </c>
      <c r="N49" s="1">
        <v>99</v>
      </c>
    </row>
    <row r="50" spans="4:14" ht="10.5" customHeight="1" x14ac:dyDescent="0.25">
      <c r="D50">
        <v>50</v>
      </c>
      <c r="G50">
        <v>100</v>
      </c>
      <c r="K50">
        <v>50</v>
      </c>
      <c r="N50" s="1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F13:J25"/>
  <sheetViews>
    <sheetView workbookViewId="0">
      <selection activeCell="K25" sqref="K25"/>
    </sheetView>
  </sheetViews>
  <sheetFormatPr defaultRowHeight="15" x14ac:dyDescent="0.25"/>
  <sheetData>
    <row r="13" spans="6:9" x14ac:dyDescent="0.25">
      <c r="F13" t="s">
        <v>19</v>
      </c>
      <c r="G13" t="s">
        <v>21</v>
      </c>
      <c r="H13" t="s">
        <v>20</v>
      </c>
    </row>
    <row r="14" spans="6:9" x14ac:dyDescent="0.25">
      <c r="F14">
        <v>1</v>
      </c>
      <c r="G14">
        <v>1</v>
      </c>
      <c r="H14">
        <v>1</v>
      </c>
      <c r="I14">
        <f>G14*H14</f>
        <v>1</v>
      </c>
    </row>
    <row r="15" spans="6:9" x14ac:dyDescent="0.25">
      <c r="F15">
        <v>2</v>
      </c>
      <c r="G15">
        <v>3</v>
      </c>
      <c r="H15">
        <v>2</v>
      </c>
      <c r="I15">
        <f t="shared" ref="I15:I23" si="0">G15*H15</f>
        <v>6</v>
      </c>
    </row>
    <row r="16" spans="6:9" x14ac:dyDescent="0.25">
      <c r="F16">
        <v>3</v>
      </c>
      <c r="G16">
        <v>1</v>
      </c>
      <c r="H16">
        <v>4</v>
      </c>
      <c r="I16">
        <f t="shared" si="0"/>
        <v>4</v>
      </c>
    </row>
    <row r="17" spans="6:10" x14ac:dyDescent="0.25">
      <c r="F17">
        <v>4</v>
      </c>
      <c r="G17">
        <v>3</v>
      </c>
      <c r="H17">
        <v>6</v>
      </c>
      <c r="I17">
        <f t="shared" si="0"/>
        <v>18</v>
      </c>
    </row>
    <row r="18" spans="6:10" x14ac:dyDescent="0.25">
      <c r="F18">
        <v>5</v>
      </c>
      <c r="G18">
        <v>15</v>
      </c>
      <c r="H18">
        <v>8</v>
      </c>
      <c r="I18">
        <f t="shared" si="0"/>
        <v>120</v>
      </c>
    </row>
    <row r="19" spans="6:10" x14ac:dyDescent="0.25">
      <c r="F19">
        <v>6</v>
      </c>
      <c r="G19">
        <v>3</v>
      </c>
      <c r="H19">
        <v>10</v>
      </c>
      <c r="I19">
        <f t="shared" si="0"/>
        <v>30</v>
      </c>
    </row>
    <row r="20" spans="6:10" x14ac:dyDescent="0.25">
      <c r="F20">
        <v>7</v>
      </c>
      <c r="G20">
        <v>1</v>
      </c>
      <c r="H20">
        <v>13</v>
      </c>
      <c r="I20">
        <f t="shared" si="0"/>
        <v>13</v>
      </c>
    </row>
    <row r="21" spans="6:10" x14ac:dyDescent="0.25">
      <c r="F21">
        <v>8</v>
      </c>
      <c r="G21">
        <v>1</v>
      </c>
      <c r="H21">
        <v>15</v>
      </c>
      <c r="I21">
        <f t="shared" si="0"/>
        <v>15</v>
      </c>
    </row>
    <row r="22" spans="6:10" x14ac:dyDescent="0.25">
      <c r="F22">
        <v>9</v>
      </c>
      <c r="G22">
        <v>1</v>
      </c>
      <c r="H22">
        <v>17</v>
      </c>
      <c r="I22">
        <f t="shared" si="0"/>
        <v>17</v>
      </c>
    </row>
    <row r="23" spans="6:10" x14ac:dyDescent="0.25">
      <c r="F23">
        <v>10</v>
      </c>
      <c r="G23">
        <v>11</v>
      </c>
      <c r="H23">
        <v>20</v>
      </c>
      <c r="I23">
        <f t="shared" si="0"/>
        <v>220</v>
      </c>
    </row>
    <row r="25" spans="6:10" x14ac:dyDescent="0.25">
      <c r="G25">
        <f t="shared" ref="G25:H25" si="1">SUM(G14:G24)</f>
        <v>40</v>
      </c>
      <c r="I25">
        <f>SUM(I14:I24)</f>
        <v>444</v>
      </c>
      <c r="J25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2"/>
  <sheetViews>
    <sheetView workbookViewId="0">
      <selection activeCell="L5" sqref="L5"/>
    </sheetView>
  </sheetViews>
  <sheetFormatPr defaultRowHeight="15" x14ac:dyDescent="0.25"/>
  <sheetData>
    <row r="1" spans="1:2" x14ac:dyDescent="0.25">
      <c r="A1" t="s">
        <v>22</v>
      </c>
      <c r="B1" t="s">
        <v>23</v>
      </c>
    </row>
    <row r="2" spans="1:2" x14ac:dyDescent="0.25">
      <c r="A2">
        <v>31</v>
      </c>
      <c r="B2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2:AJ13"/>
  <sheetViews>
    <sheetView tabSelected="1" workbookViewId="0">
      <selection activeCell="B16" sqref="B16"/>
    </sheetView>
  </sheetViews>
  <sheetFormatPr defaultColWidth="4.28515625" defaultRowHeight="15" x14ac:dyDescent="0.25"/>
  <cols>
    <col min="2" max="2" width="12" customWidth="1"/>
  </cols>
  <sheetData>
    <row r="2" spans="1:36" x14ac:dyDescent="0.25">
      <c r="A2" t="s">
        <v>29</v>
      </c>
      <c r="B2" t="s">
        <v>30</v>
      </c>
      <c r="C2" t="s">
        <v>31</v>
      </c>
      <c r="D2" t="s">
        <v>19</v>
      </c>
      <c r="E2" t="s">
        <v>32</v>
      </c>
      <c r="F2" t="s">
        <v>20</v>
      </c>
      <c r="G2" t="s">
        <v>33</v>
      </c>
      <c r="H2" t="s">
        <v>34</v>
      </c>
      <c r="I2" t="s">
        <v>35</v>
      </c>
      <c r="J2" t="s">
        <v>36</v>
      </c>
      <c r="K2" t="s">
        <v>37</v>
      </c>
      <c r="L2" t="s">
        <v>38</v>
      </c>
      <c r="M2" t="s">
        <v>39</v>
      </c>
      <c r="N2" t="s">
        <v>40</v>
      </c>
      <c r="O2" t="s">
        <v>41</v>
      </c>
      <c r="P2" t="s">
        <v>42</v>
      </c>
      <c r="Q2" t="s">
        <v>43</v>
      </c>
      <c r="R2" t="s">
        <v>44</v>
      </c>
      <c r="S2" t="s">
        <v>45</v>
      </c>
      <c r="T2" t="s">
        <v>26</v>
      </c>
      <c r="U2" t="s">
        <v>46</v>
      </c>
      <c r="V2" t="s">
        <v>47</v>
      </c>
      <c r="W2" t="s">
        <v>48</v>
      </c>
      <c r="X2" t="s">
        <v>49</v>
      </c>
    </row>
    <row r="3" spans="1:36" x14ac:dyDescent="0.25">
      <c r="B3" t="s">
        <v>25</v>
      </c>
      <c r="C3" t="s">
        <v>26</v>
      </c>
      <c r="D3">
        <v>3</v>
      </c>
      <c r="E3" t="s">
        <v>27</v>
      </c>
      <c r="F3">
        <v>4</v>
      </c>
      <c r="G3">
        <v>1</v>
      </c>
      <c r="H3">
        <v>7</v>
      </c>
      <c r="I3">
        <v>1</v>
      </c>
      <c r="J3">
        <v>2.25</v>
      </c>
      <c r="K3">
        <v>0.25</v>
      </c>
      <c r="L3">
        <v>1.75</v>
      </c>
      <c r="M3">
        <v>0.25</v>
      </c>
      <c r="N3">
        <v>0.5</v>
      </c>
      <c r="O3">
        <v>2</v>
      </c>
      <c r="P3">
        <v>0.66666666666666663</v>
      </c>
      <c r="Q3">
        <v>2</v>
      </c>
      <c r="T3" t="s">
        <v>28</v>
      </c>
    </row>
    <row r="4" spans="1:36" x14ac:dyDescent="0.25">
      <c r="B4" t="s">
        <v>50</v>
      </c>
      <c r="C4" t="s">
        <v>26</v>
      </c>
      <c r="D4">
        <v>9</v>
      </c>
      <c r="E4" t="s">
        <v>51</v>
      </c>
      <c r="F4">
        <v>7</v>
      </c>
      <c r="G4">
        <v>3</v>
      </c>
      <c r="H4">
        <v>8</v>
      </c>
      <c r="I4">
        <v>3</v>
      </c>
      <c r="J4">
        <v>2</v>
      </c>
      <c r="K4">
        <v>0.42857142857142855</v>
      </c>
      <c r="L4">
        <v>1.1428571428571428</v>
      </c>
      <c r="M4">
        <v>0.42857142857142855</v>
      </c>
      <c r="N4">
        <v>0.8571428571428571</v>
      </c>
      <c r="O4">
        <v>6</v>
      </c>
      <c r="P4">
        <v>0.66666666666666663</v>
      </c>
      <c r="Q4">
        <v>1.5714285714285714</v>
      </c>
      <c r="R4" t="s">
        <v>52</v>
      </c>
      <c r="T4" t="s">
        <v>53</v>
      </c>
      <c r="W4" t="s">
        <v>54</v>
      </c>
      <c r="AJ4" t="s">
        <v>55</v>
      </c>
    </row>
    <row r="5" spans="1:36" x14ac:dyDescent="0.25">
      <c r="B5" t="s">
        <v>56</v>
      </c>
      <c r="C5" t="s">
        <v>46</v>
      </c>
      <c r="D5">
        <v>8</v>
      </c>
      <c r="E5" t="s">
        <v>57</v>
      </c>
      <c r="F5">
        <v>10</v>
      </c>
      <c r="G5">
        <v>3</v>
      </c>
      <c r="H5">
        <v>10</v>
      </c>
      <c r="I5">
        <v>3</v>
      </c>
      <c r="J5">
        <v>1.6</v>
      </c>
      <c r="K5">
        <v>0.3</v>
      </c>
      <c r="L5">
        <v>1</v>
      </c>
      <c r="M5">
        <v>0.3</v>
      </c>
      <c r="N5">
        <v>0.6</v>
      </c>
      <c r="O5">
        <v>6</v>
      </c>
      <c r="P5">
        <v>0.75</v>
      </c>
      <c r="Q5">
        <v>1.3</v>
      </c>
      <c r="R5" t="s">
        <v>58</v>
      </c>
      <c r="AB5" t="s">
        <v>59</v>
      </c>
      <c r="AH5" t="s">
        <v>60</v>
      </c>
      <c r="AI5" t="s">
        <v>61</v>
      </c>
    </row>
    <row r="6" spans="1:36" x14ac:dyDescent="0.25">
      <c r="B6" t="s">
        <v>62</v>
      </c>
      <c r="C6" t="s">
        <v>26</v>
      </c>
      <c r="D6">
        <v>9</v>
      </c>
      <c r="E6" t="s">
        <v>63</v>
      </c>
      <c r="F6">
        <v>10</v>
      </c>
      <c r="G6">
        <v>3</v>
      </c>
      <c r="H6">
        <v>13</v>
      </c>
      <c r="I6">
        <v>3</v>
      </c>
      <c r="J6">
        <v>1.9</v>
      </c>
      <c r="K6">
        <v>0.3</v>
      </c>
      <c r="L6">
        <v>1.3</v>
      </c>
      <c r="M6">
        <v>0.3</v>
      </c>
      <c r="N6">
        <v>0.6</v>
      </c>
      <c r="O6">
        <v>6</v>
      </c>
      <c r="P6">
        <v>0.66666666666666663</v>
      </c>
      <c r="Q6">
        <v>1.6</v>
      </c>
      <c r="T6" t="s">
        <v>64</v>
      </c>
      <c r="W6" t="s">
        <v>65</v>
      </c>
      <c r="AB6" t="s">
        <v>66</v>
      </c>
      <c r="AC6" t="s">
        <v>67</v>
      </c>
      <c r="AH6" t="s">
        <v>68</v>
      </c>
      <c r="AI6" t="s">
        <v>68</v>
      </c>
    </row>
    <row r="7" spans="1:36" x14ac:dyDescent="0.25">
      <c r="B7" t="s">
        <v>69</v>
      </c>
      <c r="C7" t="s">
        <v>26</v>
      </c>
      <c r="D7">
        <v>10</v>
      </c>
      <c r="E7" t="s">
        <v>63</v>
      </c>
      <c r="F7">
        <v>12</v>
      </c>
      <c r="G7">
        <v>5</v>
      </c>
      <c r="H7">
        <v>16</v>
      </c>
      <c r="I7">
        <v>2</v>
      </c>
      <c r="J7">
        <v>1.9166666666666667</v>
      </c>
      <c r="K7">
        <v>0.41666666666666669</v>
      </c>
      <c r="L7">
        <v>1.3333333333333333</v>
      </c>
      <c r="M7">
        <v>0.16666666666666666</v>
      </c>
      <c r="N7">
        <v>0.58333333333333337</v>
      </c>
      <c r="O7">
        <v>7</v>
      </c>
      <c r="P7">
        <v>0.7</v>
      </c>
      <c r="Q7">
        <v>1.75</v>
      </c>
      <c r="R7" t="s">
        <v>70</v>
      </c>
      <c r="T7" t="s">
        <v>71</v>
      </c>
      <c r="X7" t="s">
        <v>72</v>
      </c>
      <c r="AB7" t="s">
        <v>51</v>
      </c>
      <c r="AC7" t="s">
        <v>73</v>
      </c>
      <c r="AH7" t="s">
        <v>74</v>
      </c>
      <c r="AI7" t="s">
        <v>75</v>
      </c>
      <c r="AJ7" t="s">
        <v>76</v>
      </c>
    </row>
    <row r="8" spans="1:36" x14ac:dyDescent="0.25">
      <c r="B8" t="s">
        <v>77</v>
      </c>
      <c r="C8" t="s">
        <v>45</v>
      </c>
      <c r="D8">
        <v>5</v>
      </c>
      <c r="E8" t="s">
        <v>66</v>
      </c>
      <c r="F8">
        <v>4</v>
      </c>
      <c r="G8">
        <v>2</v>
      </c>
      <c r="H8">
        <v>5</v>
      </c>
      <c r="I8">
        <v>2</v>
      </c>
      <c r="J8">
        <v>2.25</v>
      </c>
      <c r="K8">
        <v>0.5</v>
      </c>
      <c r="L8">
        <v>1.25</v>
      </c>
      <c r="M8">
        <v>0.5</v>
      </c>
      <c r="N8">
        <v>1</v>
      </c>
      <c r="O8">
        <v>4</v>
      </c>
      <c r="P8">
        <v>0.8</v>
      </c>
      <c r="Q8">
        <v>1.75</v>
      </c>
      <c r="S8" t="s">
        <v>78</v>
      </c>
      <c r="AB8" t="s">
        <v>63</v>
      </c>
      <c r="AC8" t="s">
        <v>79</v>
      </c>
      <c r="AH8" t="s">
        <v>80</v>
      </c>
      <c r="AI8" t="s">
        <v>81</v>
      </c>
      <c r="AJ8" t="s">
        <v>82</v>
      </c>
    </row>
    <row r="9" spans="1:36" x14ac:dyDescent="0.25">
      <c r="B9" t="s">
        <v>83</v>
      </c>
      <c r="C9" t="s">
        <v>26</v>
      </c>
      <c r="D9">
        <v>5</v>
      </c>
      <c r="E9" t="s">
        <v>57</v>
      </c>
      <c r="F9">
        <v>5</v>
      </c>
      <c r="G9">
        <v>2</v>
      </c>
      <c r="H9">
        <v>6</v>
      </c>
      <c r="I9">
        <v>2</v>
      </c>
      <c r="J9">
        <v>2</v>
      </c>
      <c r="K9">
        <v>0.4</v>
      </c>
      <c r="L9">
        <v>1.2</v>
      </c>
      <c r="M9">
        <v>0.4</v>
      </c>
      <c r="N9">
        <v>0.8</v>
      </c>
      <c r="O9">
        <v>4</v>
      </c>
      <c r="P9">
        <v>0.8</v>
      </c>
      <c r="Q9">
        <v>1.6</v>
      </c>
      <c r="T9" t="s">
        <v>84</v>
      </c>
      <c r="AB9" t="s">
        <v>57</v>
      </c>
      <c r="AC9" t="s">
        <v>85</v>
      </c>
      <c r="AH9" t="s">
        <v>86</v>
      </c>
      <c r="AI9" t="s">
        <v>87</v>
      </c>
      <c r="AJ9" t="s">
        <v>88</v>
      </c>
    </row>
    <row r="10" spans="1:36" x14ac:dyDescent="0.25">
      <c r="B10" t="s">
        <v>89</v>
      </c>
      <c r="C10" t="s">
        <v>45</v>
      </c>
      <c r="D10">
        <v>4</v>
      </c>
      <c r="E10" t="s">
        <v>51</v>
      </c>
      <c r="F10">
        <v>4</v>
      </c>
      <c r="G10">
        <v>2</v>
      </c>
      <c r="H10">
        <v>5</v>
      </c>
      <c r="I10">
        <v>2</v>
      </c>
      <c r="J10">
        <v>2.25</v>
      </c>
      <c r="K10">
        <v>0.5</v>
      </c>
      <c r="L10">
        <v>1.25</v>
      </c>
      <c r="M10">
        <v>0.5</v>
      </c>
      <c r="N10">
        <v>1</v>
      </c>
      <c r="O10">
        <v>4</v>
      </c>
      <c r="P10">
        <v>1</v>
      </c>
      <c r="Q10">
        <v>1.75</v>
      </c>
      <c r="R10" t="s">
        <v>53</v>
      </c>
      <c r="V10" t="s">
        <v>90</v>
      </c>
      <c r="X10" t="s">
        <v>91</v>
      </c>
      <c r="AB10" t="s">
        <v>92</v>
      </c>
      <c r="AC10" t="s">
        <v>93</v>
      </c>
      <c r="AH10" t="s">
        <v>94</v>
      </c>
      <c r="AI10" t="s">
        <v>95</v>
      </c>
    </row>
    <row r="11" spans="1:36" x14ac:dyDescent="0.25">
      <c r="B11" t="s">
        <v>96</v>
      </c>
      <c r="C11" t="s">
        <v>26</v>
      </c>
      <c r="D11">
        <v>1</v>
      </c>
      <c r="E11" t="s">
        <v>63</v>
      </c>
      <c r="F11">
        <v>8</v>
      </c>
      <c r="G11">
        <v>4</v>
      </c>
      <c r="H11">
        <v>7</v>
      </c>
      <c r="I11">
        <v>2</v>
      </c>
      <c r="J11">
        <v>1.625</v>
      </c>
      <c r="K11">
        <v>0.5</v>
      </c>
      <c r="L11">
        <v>0.875</v>
      </c>
      <c r="M11">
        <v>0.25</v>
      </c>
      <c r="N11">
        <v>0.75</v>
      </c>
      <c r="O11">
        <v>6</v>
      </c>
      <c r="P11">
        <v>6</v>
      </c>
      <c r="Q11">
        <v>1.375</v>
      </c>
      <c r="AB11" t="s">
        <v>97</v>
      </c>
      <c r="AC11" t="s">
        <v>98</v>
      </c>
      <c r="AH11" t="s">
        <v>99</v>
      </c>
      <c r="AI11" t="s">
        <v>100</v>
      </c>
    </row>
    <row r="12" spans="1:36" x14ac:dyDescent="0.25">
      <c r="B12" t="s">
        <v>101</v>
      </c>
      <c r="C12" t="s">
        <v>26</v>
      </c>
      <c r="D12">
        <v>8</v>
      </c>
      <c r="E12" t="s">
        <v>63</v>
      </c>
      <c r="F12">
        <v>9</v>
      </c>
      <c r="G12">
        <v>3</v>
      </c>
      <c r="H12">
        <v>12</v>
      </c>
      <c r="I12">
        <v>2</v>
      </c>
      <c r="J12">
        <v>1.8888888888888888</v>
      </c>
      <c r="K12">
        <v>0.33333333333333331</v>
      </c>
      <c r="L12">
        <v>1.3333333333333333</v>
      </c>
      <c r="M12">
        <v>0.22222222222222221</v>
      </c>
      <c r="N12">
        <v>0.55555555555555558</v>
      </c>
      <c r="O12">
        <v>5</v>
      </c>
      <c r="P12">
        <v>0.625</v>
      </c>
      <c r="Q12">
        <v>1.6666666666666665</v>
      </c>
      <c r="R12" t="s">
        <v>70</v>
      </c>
      <c r="T12" t="s">
        <v>52</v>
      </c>
      <c r="V12" t="s">
        <v>53</v>
      </c>
      <c r="AB12" t="s">
        <v>102</v>
      </c>
      <c r="AC12" t="s">
        <v>103</v>
      </c>
      <c r="AH12" t="s">
        <v>104</v>
      </c>
      <c r="AI12" t="s">
        <v>105</v>
      </c>
      <c r="AJ12" t="s">
        <v>105</v>
      </c>
    </row>
    <row r="13" spans="1:36" x14ac:dyDescent="0.25">
      <c r="B13" t="s">
        <v>106</v>
      </c>
      <c r="C13" t="s">
        <v>26</v>
      </c>
      <c r="D13">
        <v>4</v>
      </c>
      <c r="E13" t="s">
        <v>57</v>
      </c>
      <c r="F13">
        <v>4</v>
      </c>
      <c r="G13">
        <v>2</v>
      </c>
      <c r="H13">
        <v>5</v>
      </c>
      <c r="I13">
        <v>2</v>
      </c>
      <c r="J13">
        <v>2.25</v>
      </c>
      <c r="K13">
        <v>0.5</v>
      </c>
      <c r="L13">
        <v>1.25</v>
      </c>
      <c r="M13">
        <v>0.5</v>
      </c>
      <c r="N13">
        <v>1</v>
      </c>
      <c r="O13">
        <v>4</v>
      </c>
      <c r="P13">
        <v>1</v>
      </c>
      <c r="Q13">
        <v>1.75</v>
      </c>
      <c r="T13" t="s">
        <v>70</v>
      </c>
      <c r="AB13" t="s">
        <v>107</v>
      </c>
      <c r="AC13" t="s">
        <v>108</v>
      </c>
      <c r="AH13" t="s">
        <v>109</v>
      </c>
      <c r="AI13" t="s">
        <v>110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Money</vt:lpstr>
      <vt:lpstr>deck_builder</vt:lpstr>
      <vt:lpstr>t_decks</vt:lpstr>
      <vt:lpstr>Mana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SenCheR</dc:creator>
  <cp:lastModifiedBy>SenCheR</cp:lastModifiedBy>
  <dcterms:created xsi:type="dcterms:W3CDTF">2013-11-24T16:50:01Z</dcterms:created>
  <dcterms:modified xsi:type="dcterms:W3CDTF">2013-11-24T23:43:19Z</dcterms:modified>
</cp:coreProperties>
</file>