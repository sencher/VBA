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!Wot\VBA\"/>
    </mc:Choice>
  </mc:AlternateContent>
  <bookViews>
    <workbookView xWindow="0" yWindow="0" windowWidth="28800" windowHeight="12435" firstSheet="5" activeTab="6"/>
  </bookViews>
  <sheets>
    <sheet name="Техника" sheetId="1" r:id="rId1"/>
    <sheet name="Mana" sheetId="5" r:id="rId2"/>
    <sheet name="Feed" sheetId="3" r:id="rId3"/>
    <sheet name="Штабы" sheetId="2" r:id="rId4"/>
    <sheet name="Money" sheetId="4" r:id="rId5"/>
    <sheet name="Лист2" sheetId="6" r:id="rId6"/>
    <sheet name="Лист1" sheetId="7" r:id="rId7"/>
  </sheets>
  <functionGroups builtInGroupCount="18"/>
  <definedNames>
    <definedName name="_xlnm._FilterDatabase" localSheetId="5" hidden="1">Лист2!$B$4:$X$4</definedName>
    <definedName name="_xlnm._FilterDatabase" localSheetId="0" hidden="1">Техника!$A$4:$X$185</definedName>
    <definedName name="_xlnm._FilterDatabase" localSheetId="3" hidden="1">Штабы!$A$2:$AU$37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6" l="1"/>
  <c r="P5" i="6" s="1"/>
  <c r="N5" i="6"/>
  <c r="M5" i="6"/>
  <c r="L5" i="6"/>
  <c r="K5" i="6"/>
  <c r="Q5" i="6" s="1"/>
  <c r="J5" i="6"/>
  <c r="O138" i="1" l="1"/>
  <c r="P138" i="1" s="1"/>
  <c r="J136" i="1"/>
  <c r="K136" i="1"/>
  <c r="L136" i="1"/>
  <c r="M136" i="1"/>
  <c r="N136" i="1"/>
  <c r="O136" i="1"/>
  <c r="P136" i="1" s="1"/>
  <c r="J137" i="1"/>
  <c r="K137" i="1"/>
  <c r="L137" i="1"/>
  <c r="M137" i="1"/>
  <c r="N137" i="1"/>
  <c r="O137" i="1"/>
  <c r="P137" i="1" s="1"/>
  <c r="J138" i="1"/>
  <c r="K138" i="1"/>
  <c r="L138" i="1"/>
  <c r="M138" i="1"/>
  <c r="N138" i="1"/>
  <c r="J139" i="1"/>
  <c r="K139" i="1"/>
  <c r="L139" i="1"/>
  <c r="M139" i="1"/>
  <c r="N139" i="1"/>
  <c r="O139" i="1"/>
  <c r="P139" i="1" s="1"/>
  <c r="J140" i="1"/>
  <c r="K140" i="1"/>
  <c r="L140" i="1"/>
  <c r="M140" i="1"/>
  <c r="N140" i="1"/>
  <c r="O140" i="1"/>
  <c r="P140" i="1" s="1"/>
  <c r="J141" i="1"/>
  <c r="K141" i="1"/>
  <c r="L141" i="1"/>
  <c r="M141" i="1"/>
  <c r="N141" i="1"/>
  <c r="O141" i="1"/>
  <c r="P141" i="1" s="1"/>
  <c r="J142" i="1"/>
  <c r="K142" i="1"/>
  <c r="L142" i="1"/>
  <c r="M142" i="1"/>
  <c r="N142" i="1"/>
  <c r="O142" i="1"/>
  <c r="P142" i="1" s="1"/>
  <c r="J143" i="1"/>
  <c r="K143" i="1"/>
  <c r="L143" i="1"/>
  <c r="M143" i="1"/>
  <c r="N143" i="1"/>
  <c r="O143" i="1"/>
  <c r="P143" i="1" s="1"/>
  <c r="J135" i="1"/>
  <c r="M135" i="1"/>
  <c r="N135" i="1"/>
  <c r="O135" i="1"/>
  <c r="P135" i="1" s="1"/>
  <c r="L135" i="1"/>
  <c r="K135" i="1"/>
  <c r="J134" i="1"/>
  <c r="L134" i="1"/>
  <c r="K134" i="1"/>
  <c r="N134" i="1"/>
  <c r="O134" i="1"/>
  <c r="P134" i="1" s="1"/>
  <c r="M134" i="1"/>
  <c r="J133" i="1"/>
  <c r="L133" i="1"/>
  <c r="K133" i="1"/>
  <c r="N133" i="1"/>
  <c r="O133" i="1"/>
  <c r="P133" i="1" s="1"/>
  <c r="M133" i="1"/>
  <c r="J132" i="1"/>
  <c r="L132" i="1"/>
  <c r="K132" i="1"/>
  <c r="N132" i="1"/>
  <c r="O132" i="1"/>
  <c r="P132" i="1" s="1"/>
  <c r="M132" i="1"/>
  <c r="J131" i="1"/>
  <c r="L131" i="1"/>
  <c r="K131" i="1"/>
  <c r="N131" i="1"/>
  <c r="O131" i="1"/>
  <c r="P131" i="1" s="1"/>
  <c r="M131" i="1"/>
  <c r="J181" i="1"/>
  <c r="L181" i="1"/>
  <c r="K181" i="1"/>
  <c r="N181" i="1"/>
  <c r="O181" i="1"/>
  <c r="P181" i="1" s="1"/>
  <c r="M181" i="1"/>
  <c r="J129" i="1"/>
  <c r="M129" i="1"/>
  <c r="N129" i="1"/>
  <c r="O129" i="1"/>
  <c r="P129" i="1" s="1"/>
  <c r="L129" i="1"/>
  <c r="K129" i="1"/>
  <c r="J128" i="1"/>
  <c r="M128" i="1"/>
  <c r="N128" i="1"/>
  <c r="O128" i="1"/>
  <c r="P128" i="1" s="1"/>
  <c r="L128" i="1"/>
  <c r="K128" i="1"/>
  <c r="J127" i="1"/>
  <c r="M127" i="1"/>
  <c r="N127" i="1"/>
  <c r="O127" i="1"/>
  <c r="P127" i="1" s="1"/>
  <c r="L127" i="1"/>
  <c r="K127" i="1"/>
  <c r="J126" i="1"/>
  <c r="M126" i="1"/>
  <c r="N126" i="1"/>
  <c r="O126" i="1"/>
  <c r="P126" i="1" s="1"/>
  <c r="L126" i="1"/>
  <c r="K126" i="1"/>
  <c r="J125" i="1"/>
  <c r="M125" i="1"/>
  <c r="N125" i="1"/>
  <c r="O125" i="1"/>
  <c r="P125" i="1" s="1"/>
  <c r="L125" i="1"/>
  <c r="K125" i="1"/>
  <c r="J124" i="1"/>
  <c r="M124" i="1"/>
  <c r="N124" i="1"/>
  <c r="O124" i="1"/>
  <c r="P124" i="1" s="1"/>
  <c r="L124" i="1"/>
  <c r="K124" i="1"/>
  <c r="J123" i="1"/>
  <c r="M123" i="1"/>
  <c r="N123" i="1"/>
  <c r="O123" i="1"/>
  <c r="P123" i="1" s="1"/>
  <c r="L123" i="1"/>
  <c r="K123" i="1"/>
  <c r="J122" i="1"/>
  <c r="M122" i="1"/>
  <c r="N122" i="1"/>
  <c r="O122" i="1"/>
  <c r="P122" i="1" s="1"/>
  <c r="L122" i="1"/>
  <c r="K122" i="1"/>
  <c r="J121" i="1"/>
  <c r="M121" i="1"/>
  <c r="N121" i="1"/>
  <c r="O121" i="1"/>
  <c r="P121" i="1" s="1"/>
  <c r="L121" i="1"/>
  <c r="K121" i="1"/>
  <c r="Q128" i="1" l="1"/>
  <c r="Q135" i="1"/>
  <c r="Q125" i="1"/>
  <c r="Q126" i="1"/>
  <c r="Q121" i="1"/>
  <c r="Q137" i="1"/>
  <c r="Q134" i="1"/>
  <c r="Q181" i="1"/>
  <c r="Q140" i="1"/>
  <c r="Q136" i="1"/>
  <c r="Q133" i="1"/>
  <c r="Q132" i="1"/>
  <c r="Q131" i="1"/>
  <c r="Q129" i="1"/>
  <c r="Q127" i="1"/>
  <c r="Q143" i="1"/>
  <c r="Q142" i="1"/>
  <c r="Q141" i="1"/>
  <c r="Q139" i="1"/>
  <c r="Q138" i="1"/>
  <c r="Q123" i="1"/>
  <c r="Q122" i="1"/>
  <c r="Q124" i="1"/>
  <c r="H5" i="2"/>
  <c r="J33" i="2"/>
  <c r="I33" i="2"/>
  <c r="H33" i="2"/>
  <c r="J22" i="2"/>
  <c r="I22" i="2"/>
  <c r="H22" i="2"/>
  <c r="J13" i="2"/>
  <c r="I13" i="2"/>
  <c r="H13" i="2"/>
  <c r="J30" i="2"/>
  <c r="I30" i="2"/>
  <c r="H30" i="2"/>
  <c r="J28" i="2"/>
  <c r="I28" i="2"/>
  <c r="H28" i="2"/>
  <c r="J7" i="2"/>
  <c r="I7" i="2"/>
  <c r="H7" i="2"/>
  <c r="J25" i="2"/>
  <c r="I25" i="2"/>
  <c r="H25" i="2"/>
  <c r="J15" i="2"/>
  <c r="I15" i="2"/>
  <c r="H15" i="2"/>
  <c r="J20" i="2"/>
  <c r="I20" i="2"/>
  <c r="H20" i="2"/>
  <c r="J18" i="2"/>
  <c r="I18" i="2"/>
  <c r="H18" i="2"/>
  <c r="J17" i="2"/>
  <c r="I17" i="2"/>
  <c r="H17" i="2"/>
  <c r="AV12" i="2"/>
  <c r="AV13" i="2"/>
  <c r="AV21" i="2"/>
  <c r="AV27" i="2"/>
  <c r="AV28" i="2"/>
  <c r="AV29" i="2"/>
  <c r="AV30" i="2"/>
  <c r="AV31" i="2"/>
  <c r="AV32" i="2"/>
  <c r="AV33" i="2"/>
  <c r="AV34" i="2"/>
  <c r="J11" i="2"/>
  <c r="J5" i="2"/>
  <c r="J23" i="2"/>
  <c r="J26" i="2"/>
  <c r="J24" i="2"/>
  <c r="J34" i="2"/>
  <c r="J6" i="2"/>
  <c r="J4" i="2"/>
  <c r="J12" i="2"/>
  <c r="J10" i="2"/>
  <c r="J8" i="2"/>
  <c r="J3" i="2"/>
  <c r="J16" i="2"/>
  <c r="J29" i="2"/>
  <c r="J14" i="2"/>
  <c r="J21" i="2"/>
  <c r="J19" i="2"/>
  <c r="J27" i="2"/>
  <c r="J31" i="2"/>
  <c r="J32" i="2"/>
  <c r="J9" i="2"/>
  <c r="I5" i="2"/>
  <c r="I9" i="2"/>
  <c r="I10" i="2"/>
  <c r="I6" i="2"/>
  <c r="I12" i="2"/>
  <c r="I3" i="2"/>
  <c r="I4" i="2"/>
  <c r="I8" i="2"/>
  <c r="I23" i="2"/>
  <c r="I24" i="2"/>
  <c r="I26" i="2"/>
  <c r="I27" i="2"/>
  <c r="I29" i="2"/>
  <c r="I21" i="2"/>
  <c r="I16" i="2"/>
  <c r="I19" i="2"/>
  <c r="I14" i="2"/>
  <c r="I34" i="2"/>
  <c r="I32" i="2"/>
  <c r="I31" i="2"/>
  <c r="I11" i="2"/>
  <c r="F13" i="4" l="1"/>
  <c r="P31" i="4"/>
  <c r="AB4" i="4"/>
  <c r="M27" i="4"/>
  <c r="M2" i="4"/>
  <c r="M3" i="4"/>
  <c r="M4" i="4"/>
  <c r="M5" i="4"/>
  <c r="M6" i="4"/>
  <c r="M7" i="4"/>
  <c r="M8" i="4"/>
  <c r="M9" i="4"/>
  <c r="F3" i="4"/>
  <c r="F4" i="4"/>
  <c r="F5" i="4"/>
  <c r="F6" i="4"/>
  <c r="F7" i="4"/>
  <c r="F8" i="4"/>
  <c r="F9" i="4"/>
  <c r="F2" i="4"/>
  <c r="N17" i="1" l="1"/>
  <c r="N57" i="1"/>
  <c r="N31" i="1"/>
  <c r="N88" i="1"/>
  <c r="N32" i="1"/>
  <c r="N34" i="1"/>
  <c r="N71" i="1"/>
  <c r="N75" i="1"/>
  <c r="N76" i="1"/>
  <c r="N30" i="1"/>
  <c r="N99" i="1"/>
  <c r="N82" i="1"/>
  <c r="N38" i="1"/>
  <c r="N83" i="1"/>
  <c r="N110" i="1"/>
  <c r="N9" i="1"/>
  <c r="N23" i="1"/>
  <c r="N19" i="1"/>
  <c r="N24" i="1"/>
  <c r="N36" i="1"/>
  <c r="N85" i="1"/>
  <c r="N18" i="1"/>
  <c r="N44" i="1"/>
  <c r="N49" i="1"/>
  <c r="N93" i="1"/>
  <c r="N59" i="1"/>
  <c r="N55" i="1"/>
  <c r="N90" i="1"/>
  <c r="N60" i="1"/>
  <c r="N64" i="1"/>
  <c r="N8" i="1"/>
  <c r="N58" i="1"/>
  <c r="N72" i="1"/>
  <c r="N70" i="1"/>
  <c r="N94" i="1"/>
  <c r="N73" i="1"/>
  <c r="N78" i="1"/>
  <c r="N92" i="1"/>
  <c r="N46" i="1"/>
  <c r="N35" i="1"/>
  <c r="N79" i="1"/>
  <c r="N96" i="1"/>
  <c r="N100" i="1"/>
  <c r="N40" i="1"/>
  <c r="N10" i="1"/>
  <c r="N42" i="1"/>
  <c r="N22" i="1"/>
  <c r="N43" i="1"/>
  <c r="N37" i="1"/>
  <c r="N50" i="1"/>
  <c r="N56" i="1"/>
  <c r="N28" i="1"/>
  <c r="N107" i="1"/>
  <c r="N80" i="1"/>
  <c r="N51" i="1"/>
  <c r="N109" i="1"/>
  <c r="N112" i="1"/>
  <c r="N45" i="1"/>
  <c r="N48" i="1"/>
  <c r="N62" i="1"/>
  <c r="N63" i="1"/>
  <c r="N66" i="1"/>
  <c r="N65" i="1"/>
  <c r="N67" i="1"/>
  <c r="N39" i="1"/>
  <c r="N95" i="1"/>
  <c r="N98" i="1"/>
  <c r="N81" i="1"/>
  <c r="N91" i="1"/>
  <c r="N116" i="1"/>
  <c r="N16" i="1"/>
  <c r="N89" i="1"/>
  <c r="N21" i="1"/>
  <c r="N120" i="1"/>
  <c r="N6" i="1"/>
  <c r="N7" i="1"/>
  <c r="N117" i="1"/>
  <c r="N14" i="1"/>
  <c r="N84" i="1"/>
  <c r="N12" i="1"/>
  <c r="N15" i="1"/>
  <c r="N11" i="1"/>
  <c r="N87" i="1"/>
  <c r="N115" i="1"/>
  <c r="N86" i="1"/>
  <c r="N25" i="1"/>
  <c r="N26" i="1"/>
  <c r="N33" i="1"/>
  <c r="N47" i="1"/>
  <c r="N74" i="1"/>
  <c r="N105" i="1"/>
  <c r="N104" i="1"/>
  <c r="N61" i="1"/>
  <c r="N20" i="1"/>
  <c r="N54" i="1"/>
  <c r="N29" i="1"/>
  <c r="N106" i="1"/>
  <c r="N130" i="1"/>
  <c r="N77" i="1"/>
  <c r="N52" i="1"/>
  <c r="N53" i="1"/>
  <c r="N41" i="1"/>
  <c r="N101" i="1"/>
  <c r="N27" i="1"/>
  <c r="N111" i="1"/>
  <c r="N68" i="1"/>
  <c r="N69" i="1"/>
  <c r="N97" i="1"/>
  <c r="N118" i="1"/>
  <c r="N13" i="1"/>
  <c r="N114" i="1"/>
  <c r="N113" i="1"/>
  <c r="N108" i="1"/>
  <c r="N102" i="1"/>
  <c r="N119" i="1"/>
  <c r="N5" i="1"/>
  <c r="O6" i="1"/>
  <c r="P6" i="1" s="1"/>
  <c r="O7" i="1"/>
  <c r="P7" i="1" s="1"/>
  <c r="O117" i="1"/>
  <c r="P117" i="1" s="1"/>
  <c r="O14" i="1"/>
  <c r="P14" i="1" s="1"/>
  <c r="O84" i="1"/>
  <c r="P84" i="1" s="1"/>
  <c r="O34" i="1"/>
  <c r="P34" i="1" s="1"/>
  <c r="O9" i="1"/>
  <c r="P9" i="1" s="1"/>
  <c r="O12" i="1"/>
  <c r="P12" i="1" s="1"/>
  <c r="O15" i="1"/>
  <c r="P15" i="1" s="1"/>
  <c r="O11" i="1"/>
  <c r="P11" i="1" s="1"/>
  <c r="O87" i="1"/>
  <c r="P87" i="1" s="1"/>
  <c r="O10" i="1"/>
  <c r="P10" i="1" s="1"/>
  <c r="O115" i="1"/>
  <c r="P115" i="1" s="1"/>
  <c r="O118" i="1"/>
  <c r="P118" i="1" s="1"/>
  <c r="O42" i="1"/>
  <c r="P42" i="1" s="1"/>
  <c r="O23" i="1"/>
  <c r="P23" i="1" s="1"/>
  <c r="O19" i="1"/>
  <c r="P19" i="1" s="1"/>
  <c r="O22" i="1"/>
  <c r="P22" i="1" s="1"/>
  <c r="O24" i="1"/>
  <c r="P24" i="1" s="1"/>
  <c r="O36" i="1"/>
  <c r="P36" i="1" s="1"/>
  <c r="O85" i="1"/>
  <c r="P85" i="1" s="1"/>
  <c r="O86" i="1"/>
  <c r="P86" i="1" s="1"/>
  <c r="O25" i="1"/>
  <c r="P25" i="1" s="1"/>
  <c r="O26" i="1"/>
  <c r="P26" i="1" s="1"/>
  <c r="O43" i="1"/>
  <c r="P43" i="1" s="1"/>
  <c r="O17" i="1"/>
  <c r="P17" i="1" s="1"/>
  <c r="O37" i="1"/>
  <c r="P37" i="1" s="1"/>
  <c r="O33" i="1"/>
  <c r="P33" i="1" s="1"/>
  <c r="O18" i="1"/>
  <c r="P18" i="1" s="1"/>
  <c r="O44" i="1"/>
  <c r="P44" i="1" s="1"/>
  <c r="O49" i="1"/>
  <c r="P49" i="1" s="1"/>
  <c r="O71" i="1"/>
  <c r="P71" i="1" s="1"/>
  <c r="O93" i="1"/>
  <c r="P93" i="1" s="1"/>
  <c r="O50" i="1"/>
  <c r="P50" i="1" s="1"/>
  <c r="O47" i="1"/>
  <c r="P47" i="1" s="1"/>
  <c r="O56" i="1"/>
  <c r="P56" i="1" s="1"/>
  <c r="O28" i="1"/>
  <c r="P28" i="1" s="1"/>
  <c r="O107" i="1"/>
  <c r="P107" i="1" s="1"/>
  <c r="O59" i="1"/>
  <c r="P59" i="1" s="1"/>
  <c r="O80" i="1"/>
  <c r="P80" i="1" s="1"/>
  <c r="O75" i="1"/>
  <c r="P75" i="1" s="1"/>
  <c r="O74" i="1"/>
  <c r="P74" i="1" s="1"/>
  <c r="O51" i="1"/>
  <c r="P51" i="1" s="1"/>
  <c r="O13" i="1"/>
  <c r="P13" i="1" s="1"/>
  <c r="O55" i="1"/>
  <c r="P55" i="1" s="1"/>
  <c r="O109" i="1"/>
  <c r="P109" i="1" s="1"/>
  <c r="O90" i="1"/>
  <c r="P90" i="1" s="1"/>
  <c r="O105" i="1"/>
  <c r="P105" i="1" s="1"/>
  <c r="O60" i="1"/>
  <c r="P60" i="1" s="1"/>
  <c r="O104" i="1"/>
  <c r="P104" i="1" s="1"/>
  <c r="O112" i="1"/>
  <c r="P112" i="1" s="1"/>
  <c r="O76" i="1"/>
  <c r="P76" i="1" s="1"/>
  <c r="O64" i="1"/>
  <c r="P64" i="1" s="1"/>
  <c r="O61" i="1"/>
  <c r="P61" i="1" s="1"/>
  <c r="O45" i="1"/>
  <c r="P45" i="1" s="1"/>
  <c r="O48" i="1"/>
  <c r="P48" i="1" s="1"/>
  <c r="O20" i="1"/>
  <c r="P20" i="1" s="1"/>
  <c r="O57" i="1"/>
  <c r="P57" i="1" s="1"/>
  <c r="O31" i="1"/>
  <c r="P31" i="1" s="1"/>
  <c r="O8" i="1"/>
  <c r="P8" i="1" s="1"/>
  <c r="O5" i="1"/>
  <c r="P5" i="1" s="1"/>
  <c r="O30" i="1"/>
  <c r="P30" i="1" s="1"/>
  <c r="O62" i="1"/>
  <c r="P62" i="1" s="1"/>
  <c r="O58" i="1"/>
  <c r="P58" i="1" s="1"/>
  <c r="O72" i="1"/>
  <c r="P72" i="1" s="1"/>
  <c r="O70" i="1"/>
  <c r="P70" i="1" s="1"/>
  <c r="O94" i="1"/>
  <c r="P94" i="1" s="1"/>
  <c r="O73" i="1"/>
  <c r="P73" i="1" s="1"/>
  <c r="O99" i="1"/>
  <c r="P99" i="1" s="1"/>
  <c r="O78" i="1"/>
  <c r="P78" i="1" s="1"/>
  <c r="O54" i="1"/>
  <c r="P54" i="1" s="1"/>
  <c r="O29" i="1"/>
  <c r="P29" i="1" s="1"/>
  <c r="O63" i="1"/>
  <c r="P63" i="1" s="1"/>
  <c r="O92" i="1"/>
  <c r="P92" i="1" s="1"/>
  <c r="O66" i="1"/>
  <c r="P66" i="1" s="1"/>
  <c r="O65" i="1"/>
  <c r="P65" i="1" s="1"/>
  <c r="O67" i="1"/>
  <c r="P67" i="1" s="1"/>
  <c r="O88" i="1"/>
  <c r="P88" i="1" s="1"/>
  <c r="O39" i="1"/>
  <c r="P39" i="1" s="1"/>
  <c r="O82" i="1"/>
  <c r="P82" i="1" s="1"/>
  <c r="O38" i="1"/>
  <c r="P38" i="1" s="1"/>
  <c r="O46" i="1"/>
  <c r="P46" i="1" s="1"/>
  <c r="O83" i="1"/>
  <c r="P83" i="1" s="1"/>
  <c r="O35" i="1"/>
  <c r="P35" i="1" s="1"/>
  <c r="O79" i="1"/>
  <c r="P79" i="1" s="1"/>
  <c r="O106" i="1"/>
  <c r="P106" i="1" s="1"/>
  <c r="O32" i="1"/>
  <c r="P32" i="1" s="1"/>
  <c r="O95" i="1"/>
  <c r="P95" i="1" s="1"/>
  <c r="O130" i="1"/>
  <c r="P130" i="1" s="1"/>
  <c r="O98" i="1"/>
  <c r="P98" i="1" s="1"/>
  <c r="O77" i="1"/>
  <c r="P77" i="1" s="1"/>
  <c r="O110" i="1"/>
  <c r="P110" i="1" s="1"/>
  <c r="O81" i="1"/>
  <c r="P81" i="1" s="1"/>
  <c r="O91" i="1"/>
  <c r="P91" i="1" s="1"/>
  <c r="O116" i="1"/>
  <c r="P116" i="1" s="1"/>
  <c r="O52" i="1"/>
  <c r="P52" i="1" s="1"/>
  <c r="O53" i="1"/>
  <c r="P53" i="1" s="1"/>
  <c r="O41" i="1"/>
  <c r="P41" i="1" s="1"/>
  <c r="O16" i="1"/>
  <c r="P16" i="1" s="1"/>
  <c r="O101" i="1"/>
  <c r="P101" i="1" s="1"/>
  <c r="O89" i="1"/>
  <c r="P89" i="1" s="1"/>
  <c r="O27" i="1"/>
  <c r="P27" i="1" s="1"/>
  <c r="O114" i="1"/>
  <c r="P114" i="1" s="1"/>
  <c r="O111" i="1"/>
  <c r="P111" i="1" s="1"/>
  <c r="O96" i="1"/>
  <c r="P96" i="1" s="1"/>
  <c r="O68" i="1"/>
  <c r="P68" i="1" s="1"/>
  <c r="O100" i="1"/>
  <c r="P100" i="1" s="1"/>
  <c r="O113" i="1"/>
  <c r="P113" i="1" s="1"/>
  <c r="O69" i="1"/>
  <c r="P69" i="1" s="1"/>
  <c r="O97" i="1"/>
  <c r="P97" i="1" s="1"/>
  <c r="O21" i="1"/>
  <c r="P21" i="1" s="1"/>
  <c r="O40" i="1"/>
  <c r="P40" i="1" s="1"/>
  <c r="O108" i="1"/>
  <c r="P108" i="1" s="1"/>
  <c r="O102" i="1"/>
  <c r="P102" i="1" s="1"/>
  <c r="O119" i="1"/>
  <c r="P119" i="1" s="1"/>
  <c r="O120" i="1"/>
  <c r="P120" i="1" s="1"/>
  <c r="AV8" i="2" l="1"/>
  <c r="AV9" i="2"/>
  <c r="AV10" i="2"/>
  <c r="AV11" i="2"/>
  <c r="AV14" i="2"/>
  <c r="AV15" i="2"/>
  <c r="AV16" i="2"/>
  <c r="AV17" i="2"/>
  <c r="AV18" i="2"/>
  <c r="AV19" i="2"/>
  <c r="AV20" i="2"/>
  <c r="AV22" i="2"/>
  <c r="AV23" i="2"/>
  <c r="AV24" i="2"/>
  <c r="AV25" i="2"/>
  <c r="E42" i="3" l="1"/>
  <c r="E41" i="3"/>
  <c r="E23" i="3" l="1"/>
  <c r="AE56" i="3" l="1"/>
  <c r="AE50" i="3"/>
  <c r="AE49" i="3"/>
  <c r="AA46" i="3"/>
  <c r="W117" i="3"/>
  <c r="W83" i="3"/>
  <c r="W64" i="3"/>
  <c r="U52" i="3"/>
  <c r="U53" i="3"/>
  <c r="U54" i="3"/>
  <c r="U55" i="3"/>
  <c r="W55" i="3" s="1"/>
  <c r="U49" i="3"/>
  <c r="W49" i="3" s="1"/>
  <c r="U50" i="3"/>
  <c r="U51" i="3"/>
  <c r="U48" i="3"/>
  <c r="T51" i="3"/>
  <c r="T117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93" i="3"/>
  <c r="T94" i="3"/>
  <c r="T95" i="3"/>
  <c r="T9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49" i="3"/>
  <c r="T50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48" i="3"/>
  <c r="E48" i="3" l="1"/>
  <c r="E47" i="3"/>
  <c r="E46" i="3"/>
  <c r="E39" i="3"/>
  <c r="E29" i="3"/>
  <c r="M117" i="1"/>
  <c r="M86" i="1"/>
  <c r="M120" i="1"/>
  <c r="M6" i="1"/>
  <c r="M7" i="1"/>
  <c r="M115" i="1"/>
  <c r="M118" i="1"/>
  <c r="M34" i="1"/>
  <c r="M19" i="1"/>
  <c r="M24" i="1"/>
  <c r="M112" i="1"/>
  <c r="M36" i="1"/>
  <c r="M85" i="1"/>
  <c r="M109" i="1"/>
  <c r="M116" i="1"/>
  <c r="M37" i="1"/>
  <c r="M10" i="1"/>
  <c r="M22" i="1"/>
  <c r="M30" i="1"/>
  <c r="M74" i="1"/>
  <c r="M82" i="1"/>
  <c r="M28" i="1"/>
  <c r="M44" i="1"/>
  <c r="M49" i="1"/>
  <c r="M88" i="1"/>
  <c r="M80" i="1"/>
  <c r="M55" i="1"/>
  <c r="M94" i="1"/>
  <c r="M83" i="1"/>
  <c r="M75" i="1"/>
  <c r="M14" i="1"/>
  <c r="M84" i="1"/>
  <c r="M12" i="1"/>
  <c r="M15" i="1"/>
  <c r="M11" i="1"/>
  <c r="M87" i="1"/>
  <c r="M50" i="1"/>
  <c r="M76" i="1"/>
  <c r="M42" i="1"/>
  <c r="M56" i="1"/>
  <c r="M9" i="1"/>
  <c r="M78" i="1"/>
  <c r="M23" i="1"/>
  <c r="M93" i="1"/>
  <c r="M107" i="1"/>
  <c r="M61" i="1"/>
  <c r="M90" i="1"/>
  <c r="M71" i="1"/>
  <c r="M59" i="1"/>
  <c r="M60" i="1"/>
  <c r="M98" i="1"/>
  <c r="M46" i="1"/>
  <c r="M106" i="1"/>
  <c r="M105" i="1"/>
  <c r="M32" i="1"/>
  <c r="M95" i="1"/>
  <c r="M130" i="1"/>
  <c r="M40" i="1"/>
  <c r="M77" i="1"/>
  <c r="M99" i="1"/>
  <c r="M96" i="1"/>
  <c r="M64" i="1"/>
  <c r="M17" i="1"/>
  <c r="M81" i="1"/>
  <c r="M72" i="1"/>
  <c r="M70" i="1"/>
  <c r="M91" i="1"/>
  <c r="M5" i="1"/>
  <c r="M43" i="1"/>
  <c r="M45" i="1"/>
  <c r="M48" i="1"/>
  <c r="M18" i="1"/>
  <c r="M51" i="1"/>
  <c r="M110" i="1"/>
  <c r="M101" i="1"/>
  <c r="M8" i="1"/>
  <c r="M58" i="1"/>
  <c r="M73" i="1"/>
  <c r="M35" i="1"/>
  <c r="M89" i="1"/>
  <c r="M104" i="1"/>
  <c r="M25" i="1"/>
  <c r="M26" i="1"/>
  <c r="M16" i="1"/>
  <c r="M13" i="1"/>
  <c r="M79" i="1"/>
  <c r="M38" i="1"/>
  <c r="M63" i="1"/>
  <c r="M20" i="1"/>
  <c r="M113" i="1"/>
  <c r="M100" i="1"/>
  <c r="M29" i="1"/>
  <c r="M62" i="1"/>
  <c r="M114" i="1"/>
  <c r="M66" i="1"/>
  <c r="M65" i="1"/>
  <c r="M67" i="1"/>
  <c r="M119" i="1"/>
  <c r="M57" i="1"/>
  <c r="M31" i="1"/>
  <c r="M92" i="1"/>
  <c r="M97" i="1"/>
  <c r="M111" i="1"/>
  <c r="M33" i="1"/>
  <c r="M54" i="1"/>
  <c r="M41" i="1"/>
  <c r="M108" i="1"/>
  <c r="M39" i="1"/>
  <c r="M47" i="1"/>
  <c r="M52" i="1"/>
  <c r="M53" i="1"/>
  <c r="M27" i="1"/>
  <c r="M102" i="1"/>
  <c r="M21" i="1"/>
  <c r="M68" i="1"/>
  <c r="M69" i="1"/>
  <c r="L106" i="1"/>
  <c r="L105" i="1"/>
  <c r="L32" i="1"/>
  <c r="L95" i="1"/>
  <c r="L130" i="1"/>
  <c r="L40" i="1"/>
  <c r="L77" i="1"/>
  <c r="L99" i="1"/>
  <c r="L96" i="1"/>
  <c r="L64" i="1"/>
  <c r="L17" i="1"/>
  <c r="L81" i="1"/>
  <c r="L72" i="1"/>
  <c r="L70" i="1"/>
  <c r="L91" i="1"/>
  <c r="L5" i="1"/>
  <c r="L43" i="1"/>
  <c r="L45" i="1"/>
  <c r="L48" i="1"/>
  <c r="L18" i="1"/>
  <c r="L51" i="1"/>
  <c r="L110" i="1"/>
  <c r="L101" i="1"/>
  <c r="L8" i="1"/>
  <c r="L58" i="1"/>
  <c r="L73" i="1"/>
  <c r="L35" i="1"/>
  <c r="L89" i="1"/>
  <c r="L104" i="1"/>
  <c r="L25" i="1"/>
  <c r="L26" i="1"/>
  <c r="L16" i="1"/>
  <c r="L13" i="1"/>
  <c r="L79" i="1"/>
  <c r="L38" i="1"/>
  <c r="L63" i="1"/>
  <c r="L20" i="1"/>
  <c r="L113" i="1"/>
  <c r="L100" i="1"/>
  <c r="L29" i="1"/>
  <c r="L62" i="1"/>
  <c r="L114" i="1"/>
  <c r="L66" i="1"/>
  <c r="L65" i="1"/>
  <c r="L67" i="1"/>
  <c r="L119" i="1"/>
  <c r="L57" i="1"/>
  <c r="L31" i="1"/>
  <c r="L92" i="1"/>
  <c r="L97" i="1"/>
  <c r="L111" i="1"/>
  <c r="L33" i="1"/>
  <c r="L54" i="1"/>
  <c r="L41" i="1"/>
  <c r="L108" i="1"/>
  <c r="L39" i="1"/>
  <c r="L47" i="1"/>
  <c r="L52" i="1"/>
  <c r="L53" i="1"/>
  <c r="L27" i="1"/>
  <c r="L102" i="1"/>
  <c r="L21" i="1"/>
  <c r="L68" i="1"/>
  <c r="L69" i="1"/>
  <c r="L12" i="1"/>
  <c r="L15" i="1"/>
  <c r="L11" i="1"/>
  <c r="L87" i="1"/>
  <c r="L50" i="1"/>
  <c r="L76" i="1"/>
  <c r="L42" i="1"/>
  <c r="L56" i="1"/>
  <c r="L9" i="1"/>
  <c r="L78" i="1"/>
  <c r="L23" i="1"/>
  <c r="L93" i="1"/>
  <c r="L107" i="1"/>
  <c r="L61" i="1"/>
  <c r="L90" i="1"/>
  <c r="L71" i="1"/>
  <c r="L59" i="1"/>
  <c r="L60" i="1"/>
  <c r="L98" i="1"/>
  <c r="L46" i="1"/>
  <c r="L86" i="1"/>
  <c r="L120" i="1"/>
  <c r="L6" i="1"/>
  <c r="L7" i="1"/>
  <c r="L115" i="1"/>
  <c r="L118" i="1"/>
  <c r="L34" i="1"/>
  <c r="L19" i="1"/>
  <c r="L24" i="1"/>
  <c r="L112" i="1"/>
  <c r="L36" i="1"/>
  <c r="L85" i="1"/>
  <c r="L109" i="1"/>
  <c r="L116" i="1"/>
  <c r="L37" i="1"/>
  <c r="L10" i="1"/>
  <c r="L22" i="1"/>
  <c r="L30" i="1"/>
  <c r="L74" i="1"/>
  <c r="L82" i="1"/>
  <c r="L28" i="1"/>
  <c r="L44" i="1"/>
  <c r="L49" i="1"/>
  <c r="L88" i="1"/>
  <c r="L80" i="1"/>
  <c r="L55" i="1"/>
  <c r="L94" i="1"/>
  <c r="L83" i="1"/>
  <c r="L75" i="1"/>
  <c r="L14" i="1"/>
  <c r="L84" i="1"/>
  <c r="L117" i="1"/>
  <c r="K117" i="1"/>
  <c r="K86" i="1"/>
  <c r="K120" i="1"/>
  <c r="K6" i="1"/>
  <c r="K7" i="1"/>
  <c r="K115" i="1"/>
  <c r="K118" i="1"/>
  <c r="K34" i="1"/>
  <c r="K19" i="1"/>
  <c r="K24" i="1"/>
  <c r="K112" i="1"/>
  <c r="K36" i="1"/>
  <c r="K85" i="1"/>
  <c r="K109" i="1"/>
  <c r="K116" i="1"/>
  <c r="K37" i="1"/>
  <c r="K10" i="1"/>
  <c r="K22" i="1"/>
  <c r="K30" i="1"/>
  <c r="K74" i="1"/>
  <c r="K82" i="1"/>
  <c r="K28" i="1"/>
  <c r="K44" i="1"/>
  <c r="K49" i="1"/>
  <c r="K88" i="1"/>
  <c r="K80" i="1"/>
  <c r="K55" i="1"/>
  <c r="K94" i="1"/>
  <c r="K83" i="1"/>
  <c r="K75" i="1"/>
  <c r="K14" i="1"/>
  <c r="K84" i="1"/>
  <c r="K12" i="1"/>
  <c r="K15" i="1"/>
  <c r="K11" i="1"/>
  <c r="K87" i="1"/>
  <c r="K50" i="1"/>
  <c r="K76" i="1"/>
  <c r="K42" i="1"/>
  <c r="K56" i="1"/>
  <c r="K9" i="1"/>
  <c r="K78" i="1"/>
  <c r="K23" i="1"/>
  <c r="K93" i="1"/>
  <c r="K107" i="1"/>
  <c r="K61" i="1"/>
  <c r="Q61" i="1" s="1"/>
  <c r="K90" i="1"/>
  <c r="K71" i="1"/>
  <c r="Q71" i="1" s="1"/>
  <c r="K59" i="1"/>
  <c r="K60" i="1"/>
  <c r="K98" i="1"/>
  <c r="K46" i="1"/>
  <c r="K106" i="1"/>
  <c r="K105" i="1"/>
  <c r="K32" i="1"/>
  <c r="K95" i="1"/>
  <c r="K130" i="1"/>
  <c r="K40" i="1"/>
  <c r="K77" i="1"/>
  <c r="K99" i="1"/>
  <c r="K96" i="1"/>
  <c r="K64" i="1"/>
  <c r="Q64" i="1" s="1"/>
  <c r="K17" i="1"/>
  <c r="K81" i="1"/>
  <c r="Q81" i="1" s="1"/>
  <c r="K72" i="1"/>
  <c r="K70" i="1"/>
  <c r="K91" i="1"/>
  <c r="K5" i="1"/>
  <c r="K43" i="1"/>
  <c r="K45" i="1"/>
  <c r="Q45" i="1" s="1"/>
  <c r="K48" i="1"/>
  <c r="K18" i="1"/>
  <c r="K51" i="1"/>
  <c r="K110" i="1"/>
  <c r="K101" i="1"/>
  <c r="K8" i="1"/>
  <c r="K58" i="1"/>
  <c r="K73" i="1"/>
  <c r="K35" i="1"/>
  <c r="K89" i="1"/>
  <c r="K104" i="1"/>
  <c r="Q104" i="1" s="1"/>
  <c r="K25" i="1"/>
  <c r="K26" i="1"/>
  <c r="K16" i="1"/>
  <c r="K13" i="1"/>
  <c r="K79" i="1"/>
  <c r="K38" i="1"/>
  <c r="K63" i="1"/>
  <c r="K20" i="1"/>
  <c r="K113" i="1"/>
  <c r="K100" i="1"/>
  <c r="K29" i="1"/>
  <c r="K62" i="1"/>
  <c r="K114" i="1"/>
  <c r="K66" i="1"/>
  <c r="K65" i="1"/>
  <c r="K67" i="1"/>
  <c r="K119" i="1"/>
  <c r="Q119" i="1" s="1"/>
  <c r="K57" i="1"/>
  <c r="K31" i="1"/>
  <c r="K92" i="1"/>
  <c r="Q92" i="1" s="1"/>
  <c r="K97" i="1"/>
  <c r="K111" i="1"/>
  <c r="K33" i="1"/>
  <c r="Q33" i="1" s="1"/>
  <c r="K54" i="1"/>
  <c r="K41" i="1"/>
  <c r="Q41" i="1" s="1"/>
  <c r="K108" i="1"/>
  <c r="K39" i="1"/>
  <c r="K47" i="1"/>
  <c r="K52" i="1"/>
  <c r="Q52" i="1" s="1"/>
  <c r="K53" i="1"/>
  <c r="K27" i="1"/>
  <c r="K102" i="1"/>
  <c r="K21" i="1"/>
  <c r="K68" i="1"/>
  <c r="K69" i="1"/>
  <c r="Q21" i="1" l="1"/>
  <c r="Q79" i="1"/>
  <c r="Q76" i="1"/>
  <c r="Q25" i="1"/>
  <c r="Q114" i="1"/>
  <c r="Q40" i="1"/>
  <c r="Q89" i="1"/>
  <c r="Q39" i="1"/>
  <c r="Q20" i="1"/>
  <c r="Q105" i="1"/>
  <c r="Q12" i="1"/>
  <c r="Q63" i="1"/>
  <c r="Q96" i="1"/>
  <c r="Q16" i="1"/>
  <c r="Q29" i="1"/>
  <c r="Q5" i="1"/>
  <c r="Q62" i="1"/>
  <c r="Q18" i="1"/>
  <c r="Q102" i="1"/>
  <c r="Q57" i="1"/>
  <c r="Q93" i="1"/>
  <c r="Q65" i="1"/>
  <c r="Q113" i="1"/>
  <c r="Q46" i="1"/>
  <c r="Q13" i="1"/>
  <c r="Q8" i="1"/>
  <c r="Q38" i="1"/>
  <c r="Q106" i="1"/>
  <c r="Q111" i="1"/>
  <c r="Q101" i="1"/>
  <c r="Q43" i="1"/>
  <c r="Q27" i="1"/>
  <c r="Q130" i="1"/>
  <c r="Q95" i="1"/>
  <c r="Q54" i="1"/>
  <c r="Q99" i="1"/>
  <c r="Q35" i="1"/>
  <c r="Q107" i="1"/>
  <c r="Q87" i="1"/>
  <c r="Q72" i="1"/>
  <c r="Q68" i="1"/>
  <c r="Q66" i="1"/>
  <c r="Q50" i="1"/>
  <c r="Q59" i="1"/>
  <c r="Q17" i="1"/>
  <c r="Q108" i="1"/>
  <c r="Q98" i="1"/>
  <c r="Q58" i="1"/>
  <c r="Q53" i="1"/>
  <c r="Q47" i="1"/>
  <c r="Q9" i="1"/>
  <c r="Q91" i="1"/>
  <c r="Q100" i="1"/>
  <c r="Q77" i="1"/>
  <c r="Q69" i="1"/>
  <c r="Q51" i="1"/>
  <c r="Q31" i="1"/>
  <c r="Q26" i="1"/>
  <c r="Q23" i="1"/>
  <c r="Q70" i="1"/>
  <c r="Q67" i="1"/>
  <c r="Q56" i="1"/>
  <c r="Q48" i="1"/>
  <c r="Q32" i="1"/>
  <c r="Q78" i="1"/>
  <c r="Q60" i="1"/>
  <c r="Q11" i="1"/>
  <c r="Q90" i="1"/>
  <c r="Q97" i="1"/>
  <c r="Q110" i="1"/>
  <c r="Q73" i="1"/>
  <c r="Q15" i="1"/>
  <c r="Q42" i="1"/>
  <c r="Q84" i="1"/>
  <c r="Q94" i="1"/>
  <c r="Q49" i="1"/>
  <c r="Q74" i="1"/>
  <c r="Q37" i="1"/>
  <c r="Q36" i="1"/>
  <c r="Q34" i="1"/>
  <c r="Q6" i="1"/>
  <c r="Q75" i="1"/>
  <c r="Q80" i="1"/>
  <c r="Q28" i="1"/>
  <c r="Q22" i="1"/>
  <c r="Q109" i="1"/>
  <c r="Q24" i="1"/>
  <c r="Q115" i="1"/>
  <c r="Q86" i="1"/>
  <c r="Q14" i="1"/>
  <c r="Q55" i="1"/>
  <c r="Q44" i="1"/>
  <c r="Q30" i="1"/>
  <c r="Q116" i="1"/>
  <c r="Q112" i="1"/>
  <c r="Q118" i="1"/>
  <c r="Q120" i="1"/>
  <c r="Q83" i="1"/>
  <c r="Q88" i="1"/>
  <c r="Q82" i="1"/>
  <c r="Q10" i="1"/>
  <c r="Q85" i="1"/>
  <c r="Q19" i="1"/>
  <c r="Q7" i="1"/>
  <c r="Q117" i="1"/>
  <c r="E36" i="3"/>
  <c r="E17" i="3"/>
  <c r="E37" i="3"/>
  <c r="E35" i="3"/>
  <c r="E34" i="3"/>
  <c r="E18" i="3"/>
  <c r="E33" i="3"/>
  <c r="E32" i="3"/>
  <c r="W32" i="3" l="1"/>
  <c r="W33" i="3"/>
  <c r="W34" i="3"/>
  <c r="W35" i="3"/>
  <c r="W29" i="3" l="1"/>
  <c r="W30" i="3"/>
  <c r="W31" i="3"/>
  <c r="W28" i="3"/>
  <c r="W27" i="3"/>
  <c r="E24" i="3"/>
  <c r="E45" i="3"/>
  <c r="E21" i="3"/>
  <c r="E20" i="3"/>
  <c r="E44" i="3" l="1"/>
  <c r="E22" i="3" l="1"/>
  <c r="AV4" i="2" l="1"/>
  <c r="AV5" i="2"/>
  <c r="AV6" i="2"/>
  <c r="AV7" i="2"/>
  <c r="AV26" i="2"/>
  <c r="AV3" i="2"/>
  <c r="J29" i="1" l="1"/>
  <c r="J68" i="1"/>
  <c r="J108" i="1"/>
  <c r="J66" i="1"/>
  <c r="J65" i="1"/>
  <c r="J67" i="1"/>
  <c r="J89" i="1"/>
  <c r="J119" i="1"/>
  <c r="J80" i="1"/>
  <c r="J99" i="1"/>
  <c r="J71" i="1"/>
  <c r="J37" i="1"/>
  <c r="J41" i="1"/>
  <c r="J102" i="1"/>
  <c r="J47" i="1"/>
  <c r="J59" i="1"/>
  <c r="J118" i="1"/>
  <c r="J55" i="1"/>
  <c r="J42" i="1"/>
  <c r="J116" i="1"/>
  <c r="J51" i="1"/>
  <c r="J32" i="1"/>
  <c r="J105" i="1"/>
  <c r="J10" i="1"/>
  <c r="J12" i="1"/>
  <c r="J6" i="1"/>
  <c r="J28" i="1"/>
  <c r="J7" i="1"/>
  <c r="J87" i="1"/>
  <c r="J22" i="1"/>
  <c r="J113" i="1"/>
  <c r="J77" i="1"/>
  <c r="J49" i="1"/>
  <c r="J17" i="1"/>
  <c r="J100" i="1"/>
  <c r="J72" i="1"/>
  <c r="J38" i="1"/>
  <c r="J57" i="1"/>
  <c r="J5" i="1"/>
  <c r="J112" i="1"/>
  <c r="J93" i="1"/>
  <c r="J18" i="1"/>
  <c r="J63" i="1"/>
  <c r="J46" i="1"/>
  <c r="J73" i="1"/>
  <c r="J21" i="1"/>
  <c r="J110" i="1"/>
  <c r="J34" i="1"/>
  <c r="J35" i="1"/>
  <c r="J82" i="1"/>
  <c r="J30" i="1"/>
  <c r="J94" i="1"/>
  <c r="J76" i="1"/>
  <c r="J111" i="1"/>
  <c r="J24" i="1"/>
  <c r="J19" i="1"/>
  <c r="J85" i="1"/>
  <c r="J61" i="1"/>
  <c r="J44" i="1"/>
  <c r="J90" i="1"/>
  <c r="J83" i="1"/>
  <c r="J88" i="1"/>
  <c r="J114" i="1"/>
  <c r="J20" i="1"/>
  <c r="J130" i="1"/>
  <c r="J106" i="1"/>
  <c r="J101" i="1"/>
  <c r="J62" i="1"/>
  <c r="J75" i="1"/>
  <c r="J40" i="1"/>
  <c r="J92" i="1"/>
  <c r="J31" i="1"/>
  <c r="J109" i="1"/>
  <c r="J84" i="1"/>
  <c r="J26" i="1"/>
  <c r="J117" i="1"/>
  <c r="J115" i="1"/>
  <c r="J120" i="1"/>
  <c r="J11" i="1"/>
  <c r="J86" i="1"/>
  <c r="J36" i="1"/>
  <c r="J104" i="1"/>
  <c r="J48" i="1"/>
  <c r="J50" i="1"/>
  <c r="J45" i="1"/>
  <c r="J64" i="1"/>
  <c r="J81" i="1"/>
  <c r="J8" i="1"/>
  <c r="J69" i="1"/>
  <c r="J27" i="1"/>
  <c r="J54" i="1"/>
  <c r="J52" i="1"/>
  <c r="J95" i="1"/>
  <c r="J97" i="1"/>
  <c r="J91" i="1"/>
  <c r="J98" i="1"/>
  <c r="J78" i="1"/>
  <c r="J39" i="1"/>
  <c r="J33" i="1"/>
  <c r="J53" i="1"/>
  <c r="J23" i="1"/>
  <c r="J25" i="1"/>
  <c r="J13" i="1"/>
  <c r="J74" i="1"/>
  <c r="J107" i="1"/>
  <c r="J9" i="1"/>
  <c r="J56" i="1"/>
  <c r="J60" i="1"/>
  <c r="J70" i="1"/>
  <c r="J96" i="1"/>
  <c r="J43" i="1"/>
  <c r="J58" i="1"/>
  <c r="J16" i="1"/>
  <c r="J79" i="1"/>
  <c r="J14" i="1"/>
  <c r="J15" i="1"/>
  <c r="H3" i="2" l="1"/>
  <c r="H23" i="2"/>
  <c r="H26" i="2"/>
  <c r="H24" i="2"/>
  <c r="H29" i="2"/>
  <c r="H27" i="2"/>
  <c r="H21" i="2"/>
  <c r="H16" i="2"/>
  <c r="H19" i="2"/>
  <c r="H14" i="2"/>
  <c r="H9" i="2"/>
  <c r="H11" i="2"/>
  <c r="H6" i="2"/>
  <c r="H12" i="2"/>
  <c r="H10" i="2"/>
  <c r="H4" i="2"/>
  <c r="H8" i="2"/>
  <c r="H31" i="2"/>
  <c r="H34" i="2"/>
  <c r="H32" i="2"/>
</calcChain>
</file>

<file path=xl/sharedStrings.xml><?xml version="1.0" encoding="utf-8"?>
<sst xmlns="http://schemas.openxmlformats.org/spreadsheetml/2006/main" count="2205" uniqueCount="741">
  <si>
    <t>МС-1</t>
  </si>
  <si>
    <t>БТ-2</t>
  </si>
  <si>
    <t>мана</t>
  </si>
  <si>
    <t>Т-26</t>
  </si>
  <si>
    <t>Т-46</t>
  </si>
  <si>
    <t>RUS</t>
  </si>
  <si>
    <t>USA</t>
  </si>
  <si>
    <t>D</t>
  </si>
  <si>
    <t>T-28</t>
  </si>
  <si>
    <t>T-34</t>
  </si>
  <si>
    <t>dmg</t>
  </si>
  <si>
    <t>hp</t>
  </si>
  <si>
    <t>mana</t>
  </si>
  <si>
    <t>K</t>
  </si>
  <si>
    <t>BD</t>
  </si>
  <si>
    <t>KB-1</t>
  </si>
  <si>
    <t>L</t>
  </si>
  <si>
    <t>S</t>
  </si>
  <si>
    <t>T</t>
  </si>
  <si>
    <t>+2m</t>
  </si>
  <si>
    <t>KB-1C</t>
  </si>
  <si>
    <t>Сводный</t>
  </si>
  <si>
    <t>Ударный</t>
  </si>
  <si>
    <t>Тыловой</t>
  </si>
  <si>
    <t>move</t>
  </si>
  <si>
    <t>move on kill</t>
  </si>
  <si>
    <t>ИС</t>
  </si>
  <si>
    <t>ИС-7</t>
  </si>
  <si>
    <t>АТ-1</t>
  </si>
  <si>
    <t>СУ-76</t>
  </si>
  <si>
    <t>СУ-85</t>
  </si>
  <si>
    <t>СУ-100</t>
  </si>
  <si>
    <t>СУ-152</t>
  </si>
  <si>
    <t>ИСУ-152</t>
  </si>
  <si>
    <t>СУ-26</t>
  </si>
  <si>
    <t>СУ-5</t>
  </si>
  <si>
    <t>СУ-8</t>
  </si>
  <si>
    <t>С-51</t>
  </si>
  <si>
    <t>СУ-14</t>
  </si>
  <si>
    <t>СУ-122А</t>
  </si>
  <si>
    <t>-4c</t>
  </si>
  <si>
    <t>P</t>
  </si>
  <si>
    <t>A</t>
  </si>
  <si>
    <t>M</t>
  </si>
  <si>
    <t>dis move</t>
  </si>
  <si>
    <t>dis MD</t>
  </si>
  <si>
    <t>Fire</t>
  </si>
  <si>
    <t>Ag</t>
  </si>
  <si>
    <t>(at) +d, (df) +1m</t>
  </si>
  <si>
    <t>T-34-85</t>
  </si>
  <si>
    <t>T-44</t>
  </si>
  <si>
    <t>T-54</t>
  </si>
  <si>
    <t>(resp) 2dN</t>
  </si>
  <si>
    <t>2dN</t>
  </si>
  <si>
    <t>-3c</t>
  </si>
  <si>
    <t>+2h</t>
  </si>
  <si>
    <t>+3h</t>
  </si>
  <si>
    <t>(6h) kill</t>
  </si>
  <si>
    <t>(12h)+4m</t>
  </si>
  <si>
    <t>Pt</t>
  </si>
  <si>
    <t>c</t>
  </si>
  <si>
    <t>d</t>
  </si>
  <si>
    <t>h</t>
  </si>
  <si>
    <t>m</t>
  </si>
  <si>
    <t>Легкий Танк</t>
  </si>
  <si>
    <t>Средний Танк</t>
  </si>
  <si>
    <t>Тяжелый Танк</t>
  </si>
  <si>
    <t>ПТ-САУ</t>
  </si>
  <si>
    <t>АРТ-САУ</t>
  </si>
  <si>
    <t>Охранение</t>
  </si>
  <si>
    <t>Маскировка</t>
  </si>
  <si>
    <t>Прикрытие</t>
  </si>
  <si>
    <t>цена</t>
  </si>
  <si>
    <t>урон</t>
  </si>
  <si>
    <t>жизни</t>
  </si>
  <si>
    <t>B</t>
  </si>
  <si>
    <t>Блиц</t>
  </si>
  <si>
    <t>at</t>
  </si>
  <si>
    <t>df</t>
  </si>
  <si>
    <t>атака</t>
  </si>
  <si>
    <t>защита</t>
  </si>
  <si>
    <t>выход на стол</t>
  </si>
  <si>
    <t>a</t>
  </si>
  <si>
    <t>абилка</t>
  </si>
  <si>
    <t>dN</t>
  </si>
  <si>
    <t>урон на соседнюю клетку</t>
  </si>
  <si>
    <t>(P) -1d</t>
  </si>
  <si>
    <t>(at Pt) +2d</t>
  </si>
  <si>
    <t>p</t>
  </si>
  <si>
    <t>плацдарм</t>
  </si>
  <si>
    <t>(ep) +2d</t>
  </si>
  <si>
    <t>(p) M</t>
  </si>
  <si>
    <t>(v) +1dN</t>
  </si>
  <si>
    <t>v</t>
  </si>
  <si>
    <t>обнаружение</t>
  </si>
  <si>
    <t>dH</t>
  </si>
  <si>
    <t>урон штабу</t>
  </si>
  <si>
    <t>+1d</t>
  </si>
  <si>
    <t>Арьергард</t>
  </si>
  <si>
    <t>-1dH</t>
  </si>
  <si>
    <t>количество</t>
  </si>
  <si>
    <t>-2dN</t>
  </si>
  <si>
    <t>dis at</t>
  </si>
  <si>
    <t>перемещение</t>
  </si>
  <si>
    <t>C</t>
  </si>
  <si>
    <t>карта</t>
  </si>
  <si>
    <t>+4h</t>
  </si>
  <si>
    <t>ИС-6</t>
  </si>
  <si>
    <t>КВ-5</t>
  </si>
  <si>
    <t>(T) -2c</t>
  </si>
  <si>
    <t>(V) -2c</t>
  </si>
  <si>
    <t>приказ</t>
  </si>
  <si>
    <t>-3с</t>
  </si>
  <si>
    <t>(df HAL) -1d</t>
  </si>
  <si>
    <t>Churchill</t>
  </si>
  <si>
    <t>(at) 1dV</t>
  </si>
  <si>
    <t>x3 at or df</t>
  </si>
  <si>
    <t>T-127</t>
  </si>
  <si>
    <t>(a) +1m</t>
  </si>
  <si>
    <t>A-32</t>
  </si>
  <si>
    <t>g</t>
  </si>
  <si>
    <t>гибнет</t>
  </si>
  <si>
    <t>(g) +1C</t>
  </si>
  <si>
    <t>Valentine</t>
  </si>
  <si>
    <t>(df) -1d</t>
  </si>
  <si>
    <t>(cat) -2d</t>
  </si>
  <si>
    <t>cat</t>
  </si>
  <si>
    <t>контр атака</t>
  </si>
  <si>
    <t>(g) +1m</t>
  </si>
  <si>
    <t>БТ-СВ</t>
  </si>
  <si>
    <t>Tetrarch</t>
  </si>
  <si>
    <t>(at L) +4d</t>
  </si>
  <si>
    <t>Trainingslager</t>
  </si>
  <si>
    <t>Учебный</t>
  </si>
  <si>
    <t>Training Camp</t>
  </si>
  <si>
    <t>Учебная Часть</t>
  </si>
  <si>
    <t>21-й танковый</t>
  </si>
  <si>
    <t>7-й танковый</t>
  </si>
  <si>
    <t>3-я дивизия</t>
  </si>
  <si>
    <t>11th Squadron</t>
  </si>
  <si>
    <t>2nd Armored</t>
  </si>
  <si>
    <t>3rd Airborne</t>
  </si>
  <si>
    <t>60-я танковая</t>
  </si>
  <si>
    <t>41-я танковая</t>
  </si>
  <si>
    <t>(&gt;25h) +1C</t>
  </si>
  <si>
    <t>(a)2m - 1d</t>
  </si>
  <si>
    <t>-1 карта с колоды за труп</t>
  </si>
  <si>
    <t>(g) +1h</t>
  </si>
  <si>
    <t>(a)5m +1h</t>
  </si>
  <si>
    <t>4трупа + 1m</t>
  </si>
  <si>
    <t>атака ниже от карт &gt;3</t>
  </si>
  <si>
    <t>за 2 техники +1m</t>
  </si>
  <si>
    <t>+1d по цели</t>
  </si>
  <si>
    <t>+1d по взводам</t>
  </si>
  <si>
    <t>-1d</t>
  </si>
  <si>
    <t>4-я дивизия</t>
  </si>
  <si>
    <t>(a)25m - Win!</t>
  </si>
  <si>
    <t>(a)3m - move</t>
  </si>
  <si>
    <t>(&lt;2C) +1C</t>
  </si>
  <si>
    <t>11th Airborne</t>
  </si>
  <si>
    <t>(&gt;11m) +1C</t>
  </si>
  <si>
    <t>7th Armored</t>
  </si>
  <si>
    <t>10th Mountain</t>
  </si>
  <si>
    <t>(g) 1d</t>
  </si>
  <si>
    <t>за каст (&gt;5m) - 1d</t>
  </si>
  <si>
    <t>Сумма</t>
  </si>
  <si>
    <t>CCCP</t>
  </si>
  <si>
    <t>Nazi</t>
  </si>
  <si>
    <t>PzD Clausewitz</t>
  </si>
  <si>
    <t>PzD Muncheberg</t>
  </si>
  <si>
    <t>PzD Holstein</t>
  </si>
  <si>
    <t>PzD Schlesien</t>
  </si>
  <si>
    <t>PzD Juterbog</t>
  </si>
  <si>
    <t>PzD Kurmark</t>
  </si>
  <si>
    <t>Nation</t>
  </si>
  <si>
    <t>Name</t>
  </si>
  <si>
    <t>Level</t>
  </si>
  <si>
    <t>Type</t>
  </si>
  <si>
    <t>Cost</t>
  </si>
  <si>
    <t>Dmg</t>
  </si>
  <si>
    <t>Hp</t>
  </si>
  <si>
    <t>Mana</t>
  </si>
  <si>
    <t>Bonus</t>
  </si>
  <si>
    <t>Leichttraktor</t>
  </si>
  <si>
    <t>pz35</t>
  </si>
  <si>
    <t>Pzll</t>
  </si>
  <si>
    <t>Luchs</t>
  </si>
  <si>
    <t>(g HA) 2d</t>
  </si>
  <si>
    <t>2dH</t>
  </si>
  <si>
    <t>Pz34</t>
  </si>
  <si>
    <t>+1m</t>
  </si>
  <si>
    <t>Pz4</t>
  </si>
  <si>
    <t>(at) -1g</t>
  </si>
  <si>
    <t>Tiger</t>
  </si>
  <si>
    <t>+1m, M</t>
  </si>
  <si>
    <t>Tiger ll</t>
  </si>
  <si>
    <t>(df Pt) +2d</t>
  </si>
  <si>
    <t>Ag, P</t>
  </si>
  <si>
    <t>(T) +2d</t>
  </si>
  <si>
    <t>Maus</t>
  </si>
  <si>
    <t>+3d</t>
  </si>
  <si>
    <t>VK 3001(P)</t>
  </si>
  <si>
    <t>VK 3002(DB)</t>
  </si>
  <si>
    <t>(at) +1C</t>
  </si>
  <si>
    <t>Panther</t>
  </si>
  <si>
    <t>Panther ll</t>
  </si>
  <si>
    <t>cast</t>
  </si>
  <si>
    <t>играет карту</t>
  </si>
  <si>
    <t>cast +2h</t>
  </si>
  <si>
    <t>H</t>
  </si>
  <si>
    <t>штаб</t>
  </si>
  <si>
    <t>Marder ll</t>
  </si>
  <si>
    <t>Hetzer</t>
  </si>
  <si>
    <t>(L) M</t>
  </si>
  <si>
    <t>StuG lll</t>
  </si>
  <si>
    <t>JgPz4</t>
  </si>
  <si>
    <t>JgPanther</t>
  </si>
  <si>
    <t>Ferdinand</t>
  </si>
  <si>
    <t>(at M) +2d</t>
  </si>
  <si>
    <t>JgTiger</t>
  </si>
  <si>
    <t>k</t>
  </si>
  <si>
    <t>убил</t>
  </si>
  <si>
    <t>JgE-100</t>
  </si>
  <si>
    <t>(at) no cat</t>
  </si>
  <si>
    <t>(at) k</t>
  </si>
  <si>
    <t>(df H) -1d</t>
  </si>
  <si>
    <t>Bison</t>
  </si>
  <si>
    <t>Wespe</t>
  </si>
  <si>
    <t>(k) -3g</t>
  </si>
  <si>
    <t>Sturmpanzer ll</t>
  </si>
  <si>
    <t>Grille</t>
  </si>
  <si>
    <t>Hummel</t>
  </si>
  <si>
    <t>xL +x2d</t>
  </si>
  <si>
    <t>(xA) +xd</t>
  </si>
  <si>
    <t>x</t>
  </si>
  <si>
    <t>GW Panther</t>
  </si>
  <si>
    <t>(k) +1at</t>
  </si>
  <si>
    <t>(at A) +2d</t>
  </si>
  <si>
    <t>GW Tiger</t>
  </si>
  <si>
    <t>GW Typ E</t>
  </si>
  <si>
    <t>(at) 2dV</t>
  </si>
  <si>
    <t>(df) +2H</t>
  </si>
  <si>
    <t>(k) +4H</t>
  </si>
  <si>
    <t>(g) +4H</t>
  </si>
  <si>
    <t>Lowe</t>
  </si>
  <si>
    <t>(xg) +xh</t>
  </si>
  <si>
    <t>+2d</t>
  </si>
  <si>
    <t>JgTiger88</t>
  </si>
  <si>
    <t>(xdH) -xc</t>
  </si>
  <si>
    <t>Pz38</t>
  </si>
  <si>
    <t>Pz S35</t>
  </si>
  <si>
    <t>T-15</t>
  </si>
  <si>
    <t>-2c</t>
  </si>
  <si>
    <t>Pz38H (f)</t>
  </si>
  <si>
    <t>(L) -2d</t>
  </si>
  <si>
    <t>T1 lt</t>
  </si>
  <si>
    <t>T2 lt</t>
  </si>
  <si>
    <t>M3 Stuart</t>
  </si>
  <si>
    <t>+1dA</t>
  </si>
  <si>
    <t>(a) move</t>
  </si>
  <si>
    <t>M5 Stuart</t>
  </si>
  <si>
    <t>M2 mt</t>
  </si>
  <si>
    <t>(xm) +xm</t>
  </si>
  <si>
    <t>M3 Lee</t>
  </si>
  <si>
    <t>(xm) +xh</t>
  </si>
  <si>
    <t>M4A3E8</t>
  </si>
  <si>
    <t>Pershing</t>
  </si>
  <si>
    <t>M46 Patton</t>
  </si>
  <si>
    <t>(ep) +1C</t>
  </si>
  <si>
    <t>(ep) 3dH</t>
  </si>
  <si>
    <t>T1 Heavy</t>
  </si>
  <si>
    <t>(xm) +H</t>
  </si>
  <si>
    <t>M6</t>
  </si>
  <si>
    <t>T32</t>
  </si>
  <si>
    <t>-1dV</t>
  </si>
  <si>
    <t>T110E5</t>
  </si>
  <si>
    <t>+1dN</t>
  </si>
  <si>
    <t>T82</t>
  </si>
  <si>
    <t>(g AH) +1C</t>
  </si>
  <si>
    <t>T40</t>
  </si>
  <si>
    <t>Wolverine</t>
  </si>
  <si>
    <t>Slugger</t>
  </si>
  <si>
    <t>dis m</t>
  </si>
  <si>
    <t>T25/2</t>
  </si>
  <si>
    <t>T28 Prot.</t>
  </si>
  <si>
    <t>-1d to Pt</t>
  </si>
  <si>
    <t>T30</t>
  </si>
  <si>
    <t>T110E4</t>
  </si>
  <si>
    <t>(AH) +4d</t>
  </si>
  <si>
    <t>(10m) +1t</t>
  </si>
  <si>
    <t>M7 Priest</t>
  </si>
  <si>
    <t>(k) +2eg</t>
  </si>
  <si>
    <t>M37</t>
  </si>
  <si>
    <t>M41</t>
  </si>
  <si>
    <t>M12</t>
  </si>
  <si>
    <t>(xm) +xC</t>
  </si>
  <si>
    <t>M40/M43</t>
  </si>
  <si>
    <t>(at D) +3d</t>
  </si>
  <si>
    <t>T92</t>
  </si>
  <si>
    <t>(at) +1eg</t>
  </si>
  <si>
    <t>(at H) 2dp</t>
  </si>
  <si>
    <t>T26E4</t>
  </si>
  <si>
    <t>(xm) +x/2m</t>
  </si>
  <si>
    <t>(xm) -x/3d</t>
  </si>
  <si>
    <t>T34</t>
  </si>
  <si>
    <t>no cat, (df) +1H</t>
  </si>
  <si>
    <t>M6A2E1</t>
  </si>
  <si>
    <t>-2d first</t>
  </si>
  <si>
    <t>(at) cat</t>
  </si>
  <si>
    <t>M4A2E4</t>
  </si>
  <si>
    <t>Locust</t>
  </si>
  <si>
    <t>M2 lt</t>
  </si>
  <si>
    <t>(xm) +xC, -xH</t>
  </si>
  <si>
    <t>M44</t>
  </si>
  <si>
    <t>(corner) +2d</t>
  </si>
  <si>
    <t>Matilda IV</t>
  </si>
  <si>
    <t>KV-220</t>
  </si>
  <si>
    <t>СУ-18</t>
  </si>
  <si>
    <t>T-25</t>
  </si>
  <si>
    <t>Pz B2</t>
  </si>
  <si>
    <t>Panzerjager I</t>
  </si>
  <si>
    <t>Ram II</t>
  </si>
  <si>
    <t>T14</t>
  </si>
  <si>
    <t>T18</t>
  </si>
  <si>
    <t>Ценность</t>
  </si>
  <si>
    <t>CCCP 23#sh_3yakrasnoznamennayadivisiya,sv_t28#1,sv_kv1#1,sp_pogranichniki12dagectanskoidivizii#2,so_boltatvragupomogat#3,sp_vzvodtilovovoobespecheniya8armii#2,sv_su100#3,sv_t34#4,sv_su8#1,sv_su18#3,sp_saperiukrainskogofronta#3,so_nashisilyneischislimy#2,sp_razvedchikibeloruskogofronta#2,sv_su152#1,sv_su5#2,sv_su76#2,sv_valentine2#2,so_nazapad#1,gv_pzkpfwIIIslashIV#3,sv_s51#2</t>
  </si>
  <si>
    <t xml:space="preserve"> </t>
  </si>
  <si>
    <t>Lvl</t>
  </si>
  <si>
    <t>CCCP 26#sh_3yakrasnoznamennayadivisiya,sv_kv1#1,sv_su14#2,so_boltatvragupomogat#3,sv_su100#3,sv_t34#7,sv_su8#1,sv_su18#3,sp_saperiukrainskogofronta#3,so_nashisilyneischislimy#3,sp_razvedchikibeloruskogofronta#1,sv_su152#1,sv_su76#3,sv_su5#2,sp_telephonisty30divisiinkvd#1,sv_valentine2#1,so_nazapad#2,sv_s51#2,sv_kv1s#1</t>
  </si>
  <si>
    <t>Танковая дивизия «Силезия»#gh_divisionschlesien,gv_pzkpfwIIluchs#1,gv_pzkpfwIV#1,uv_t26e4#1,gv_vk3002(db)#3,gv_vk3001(p)#1,go_inderstaub#1,gp_nachschubzugder9pd#3,go_arbeitedufuerdensieg#1,gp_nachaichtrnbrigadeder1pd#1,gv_pzkpfwVIbtigerII#1,gv_jagdtiger#3,gv_pzkpfwVpanther#2,go_politruklzhet#3,up_sniperplatoonofthe82division#1,go_derstirnderfaust#1,gv_pzkpfwIIIslashIV#3,go_kampfbiszumende#3,gv_lowe#2,gv_maus#1,gv_gwtiger#2,gv_marderII#1,gv_pzkpfwVItiger#1,gv_wespe#3</t>
  </si>
  <si>
    <t>T30 Force#uh_3airbornetankbattalion,uv_t26e4#1,gv_pzb2#3,gv_vk3002(db)#2,up_mortarsof17division#1,uv_ramII#3,gv_t25#3,sv_ms1#1,uv_t14#3,gv_pzkpfwII#3,sv_matilda4#2,sv_kv220#3,uv_m37#3,gv_sturmpanzerII#1,uo_backthemwithmoremetal#3,uv_t40#3,uv_m2lighttank#1,uv_m6#1,uv_m7priest#3</t>
  </si>
  <si>
    <t>Танковая дивизия «Силезия» 15#gh_divisionschlesien,gv_pzkpfwIIluchs#3,gv_vk3002(db)#1,gv_pzb2#1,gv_pzkpfw38(t)#3,gp_divisiondingenieureschlesien#2,uv_ramII#2,uv_t14#2,gp_nachaichtrnbrigadeder1pd#2,gv_pzkpfwII#2,gp_fernschreiberderpdkurmark#1,sv_kv220#3,gv_pzkpfwIIIslashIV#3,gv_sturmpanzerII#3,go_kampfbiszumende#3,gv_sturmpanzerIbison#2,gv_lowe#1,gv_pzkpfw35(t)#3,gv_marderII#3</t>
  </si>
  <si>
    <t>Танковая дивизия «Ютербог»#gh_pdjuterbog,gv_pzkpfwIIluchs#3,sp_vzvodtilovovoobespecheniya8armii#2,sv_su18#3,go_vaterlandodertod#3,go_arbeitedufuerdensieg#1,so_takbilotakbudet#3,go_rauftdeutcheware#2,gv_pzkpfwVpanther#2,gv_ferdinand#3,gv_pzkpfwII#3,go_dersiegwirdunsersein#3,gp_fernschreiberderpdkurmark#1,gp_bauzugderpdmuncheberg#1,gv_pzkpfwIIIslashIV#1,gv_sturmpanzerIbison#3,gv_marderII#3,gp_feldmedizinerder14pd#1,gv_pzkpfw38h735f#2</t>
  </si>
  <si>
    <t>Juter 14#gh_pdjuterbog,gv_pzkpfwIIluchs#3,sp_vzvodtilovovoobespecheniya8armii#2,sv_su18#2,sv_btsv#2,gp_nachaichtrnbrigadeder1pd#2,so_takbilotakbudet#3,gv_grille#1,gv_pzkpfwII#3,go_dersiegwirdunsersein#2,gp_fernschreiberderpdkurmark#3,gv_pzkpfwIIIslashIV#3,gv_sturmpanzerII#3,go_kampfbiszumende#2,gv_sturmpanzerIbison#2,gv_pzkpfw35(t)#1,gv_marderII#3,gv_pzkpfw38h735f#3</t>
  </si>
  <si>
    <t>Juter 25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</si>
  <si>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Танковая дивизия «Силезия» 16#gh_divisionschlesien,gv_pzkpfwIIluchs#3,gv_pzb2#1,gv_pzkpfw38(t)#3,gp_divisiondingenieureschlesien#1,uv_ramII#1,gv_hummel#2,uv_t14#2,gp_nachaichtrnbrigadeder1pd#3,gv_pzkpfwII#3,gp_fernschreiberderpdkurmark#1,sv_kv220#3,gv_pzkpfwIIIslashIV#3,gv_sturmpanzerII#3,go_kampfbiszumende#3,gv_sturmpanzerIbison#2,gv_lowe#1,gv_pzkpfw35(t)#2,gv_marderII#2,gv_wespe#1</t>
  </si>
  <si>
    <t>2-й танковый батальон#uh_2armoredbattalion,up_gunnersofthenationalguard#2,uv_m36slugger#3,uo_tovictory#3,uv_t26e4#1,uv_m2mediumtank#2,uo_anappealtoyou#1,uo_thekeytothesituation#3,up_volunteersof29infantryregiment#1,gv_pzkpfwVpanther#2,uv_m10#3,uo_freedomshallprevail#2,up_sniperplatoonofthe82division#1,uv_m12#1,uv_t2lt#1,uv_m37#3,uv_m3lee#1,uv_m5stuart#3,uv_t40#3,uv_m6#1,uv_t30#3</t>
  </si>
  <si>
    <t>11 Squadron 13#uh_11mechanizedreconnaissancesquadron,sv_churchill3#3,so_budbditelnym#3,gv_pzb2#3,sv_su18#3,uv_ramII#2,sv_a32#3,uv_t14#2,gv_t15#3,sv_matilda4#1,up_telephonistsofexpeditionaryforces#3,uv_m4a2e4#3,sv_kv220#3,uv_m37#2,gv_gwpanther#1,gp_auskundschaftersderpdmuncheberg#3,uv_m2lighttank#1,uv_m6#1</t>
  </si>
  <si>
    <t>11 Squadron 22#uh_11mechanizedreconnaissancesquadron,uo_tovictory#3,so_boltatvragupomogat#3,sv_su100#2,uv_t26e4#1,uv_m2mediumtank#1,sv_btsv#2,uo_thekeytothesituation#3,gv_t15#3,up_volunteersof29infantryregiment#1,gv_pzkpfwVpanther#2,gv_pzkpfwII#1,up_sniperplatoonofthe82division#3,uo_freedomshallprevail#2,uv_m12#1,go_kameradderarbeit#2,uv_t2lt#3,uv_m3stuart#3,uv_m5stuart#3,uv_m6#1</t>
  </si>
  <si>
    <t>Only arta#sh_3yakrasnoznamennayadivisiya,uo_tovictory#3,sv_su14#2,so_beynasmert#3,sv_t34#1,so_udarmolota#3,sv_su8#2,sv_su18#3,so_nashisilyneischislimy#1,sv_su5#3,uo_thekeytothesituation#3,gv_grille#1,sv_su122a#3,so_budgeroem#1,uo_freedomshallprevail#1,uv_t57#3,gv_sturmpanzerII#3,sv_s51#3,sv_kv1s#1</t>
  </si>
  <si>
    <t>SPELLS#uh_10thmountaindivision,uo_tovictory#3,gv_pzkpfwIIluchs#3,so_budbditelnym#3,sp_pogranichniki12dagectanskoidivizii#2,so_udarmolota#3,gp_panzertunkerderpdholstein#3,sp_saperiukrainskogofronta#3,uo_enlistinthewaves#3,uo_thekeytothesituation#3,so_takbilotakbudet#3,uo_backthemwithmoremetal#3,uo_letemallcome#1,uo_thismanisyoufriend#3,up_crewof501airdefensebattalion#2,uo_crushprussian#1,uv_t30#1</t>
  </si>
  <si>
    <t>27 Balanced 10-я горная дивизия#uh_10thmountaindivision,so_budbditelnym#3,uv_t26e4#1,gv_pzb2#2,up_mortarsof17division#2,uv_ramII#2,uv_m2mediumtank#2,sv_a32#1,uv_t14#1,uo_thekeytothesituation#3,sp_telephonisty30divisiinkvd#1,uv_m10#2,uv_m12#1,sv_kv220#2,uv_m37#3,uv_m3lee#3,uo_backthemwithmoremetal#1,uv_m5stuart#1,uv_t1heavy#1,uo_thismanisyoufriend#3,gv_gwtiger#2,up_crewof501airdefensebattalion#1,uv_m2lighttank#1,uv_t30#1</t>
  </si>
  <si>
    <t>29 Balanced 10-я горная дивизия#uh_10thmountaindivision,uv_m36slugger#3,uv_t28prot#1,up_mortarsof17division#2,uo_thekeytothesituation#3,uv_m10#3,uo_freedomshallprevail#2,up_sniperplatoonofthe82division#1,uv_m12#1,uv_t2lt#3,uv_m37#3,uo_backthemwithmoremetal#3,uv_m5stuart#3,uo_thismanisyoufriend#3,uo_letemallcome#3,uv_t40#3,uv_t30#3</t>
  </si>
  <si>
    <t>41-я танковая дивизия 24#sh_41ayatankovayadivisiya,sv_churchill3#1,so_budbditelnym#3,sp_pogranichniki12dagectanskoidivizii#1,sv_t26#3,so_boltatvragupomogat#3,sv_t34#7,gv_pzb2#2,uv_ramII#3,sv_btsv#1,sv_a32#3,sv_su76#3,sv_is6#1,so_otstoimmoskvu#3,sp_telephonisty30divisiinkvd#1,sp_voenniyecriminalisty#1,sv_kv220#2,sv_kv1s#1,gv_pzkpfw38h735f#1</t>
  </si>
  <si>
    <t>TT#sh_41ayatankovayadivisiya,sv_churchill3#1,sp_pogranichniki12dagectanskoidivizii#1,sv_t26#3,so_boltatvragupomogat#3,sv_t34#8,gv_pzb2#3,gv_pzkpfws35739f#2,sv_btsv#2,sv_su76#3,so_otstoimmoskvu#3,sv_is6#2,sp_telephonisty30divisiinkvd#1,sp_voenniyecriminalisty#1,sv_kv220#3,gv_lowe#2,sv_kv1s#1,gv_pzkpfw38h735f#1</t>
  </si>
  <si>
    <t>DMG#sh_41ayatankovayadivisiya,so_boltatvragupomogat#3,sv_t34#9,sv_su18#3,gv_vk3001(p)#1,sp_telephonisty30divisiinkvd#1,gv_hetzer#3,gv_pzkpfwII#3,gv_leichttraktor#3,uv_t82#2,uv_t2lt#2,gv_pzkpfwIIIslashIV#3,gv_marderII#3,sv_kv1s#1,gv_pzkpfw38h735f#3</t>
  </si>
  <si>
    <t>27 4-я Кантемировская дивизия#sh_4kantemirovskayadivisiya,sv_bt2#2,sv_kv1#1,sv_t127#3,so_boltatvragupomogat#3,uv_t26e4#1,sv_t34#6,gv_vk3002(db)#1,sv_btsv#3,so_nashisilyneischislimy#2,sv_a32#2,sv_su76#2,sv_su152#1,so_otstoimmoskvu#3,uo_thekeytothesituation#2,sp_telephonisty30divisiinkvd#1,up_sniperplatoonofthe82division#3,sv_at1#1,gv_88pak43jagdtiger#1,uv_t40#1,sv_kv1s#1</t>
  </si>
  <si>
    <t>FARMERS#sh_4kantemirovskayadivisiya,so_nazapad#1,sv_t28#3,so_budbditelnym#3,sp_pogranichniki12dagectanskoidivizii#2,sp_strelkiuzhnogofronta#3,sv_t127#3,so_boltatvragupomogat#3,sv_t26#3,sv_t34#1,gv_88pak43jagdtiger#1,so_nashisilyneischislimy#3,sv_a32#3,uv_t40#3,uv_t14#3,sp_telephonisty30divisiinkvd#1,uv_m10#3,uv_m6#1</t>
  </si>
  <si>
    <t>FEED ANAL</t>
  </si>
  <si>
    <t>20 Juter #gh_pdjuterbog,gv_pzkpfwIIluchs#3,gp_divisiondingenieureschlesien#1,gv_stug3#1,sv_btsv#3,gv_vk3001(p)#2,sv_a32#3,go_rauftdeutcheware#1,gv_grille#1,sv_mk7tetrarch#1,gv_pzkpfwII#2,sv_valentine2#3,go_dersiegwirdunsersein#3,gv_pzkpfwIIIslashIV#3,gv_sturmpanzerII#3,gv_sturmpanzerIbison#1,gv_lowe#2,gv_gwpanther#1,gv_marderII#3,gv_pzkpfw38h735f#3</t>
  </si>
  <si>
    <t>20 2-й танковый батальон#uh_2armoredbattalion,sv_churchill3#3,uv_t26e4#1,gv_pzkpfws35739f#3,sv_btsv#3,sv_a32#3,uv_m22locust#3,gv_t15#3,sv_mk7tetrarch#1,sv_valentine2#3,uv_m4a2e4#3,gv_sturmpanzerII#2,uv_m37#3,gv_88pak43jagdtiger#1,gv_lowe#2,uv_m2lighttank#2,uv_m6#1,gv_pzkpfw38h735f#3</t>
  </si>
  <si>
    <t xml:space="preserve"> TOP 27-29«Курмарк»#gh_divisionkurmark,gv_pzkpfwIIluchs#3,gv_pzkpfwIV#1,gv_stug3#1,gp_divisiondingenieureschlesien#3,gp_panzertunkerderpdholstein#3,gv_vk3001(p)#2,sv_a32#3,sv_is6#1,gv_hummel#2,gv_jagdpziv#1,go_arbeitedufuerdensieg#1,go_winterhifswerk#1,gv_grille#1,go_rauftdeutcheware#3,gp_bauzugderpdmuncheberg#1,gv_pzkpfwIIIslashIV#3,gv_sturmpanzerII#3,gv_lowe#2,gv_gwpanther#2,gv_pzkpfwVItiger#1,gp_feldmedizinerder14pd#1,go_flammenwerfervor#1</t>
  </si>
  <si>
    <t>Juter 23#gh_pdjuterbog,gv_pzkpfwIIluchs#2,gp_divisiondingenieureschlesien#3,sv_btsv#3,gv_vk3001(p)#2,sv_a32#3,sv_is6#1,gv_hummel#2,go_arbeitedufuerdensieg#1,go_rauftdeutcheware#3,gv_grille#1,sv_mk7tetrarch#1,go_dersiegwirdunsersein#3,sv_valentine2#3,gp_bauzugderpdmuncheberg#1,gv_pzkpfwIIIslashIV#3,gv_sturmpanzerII#3,gv_lowe#2,gv_pzkpfwVItiger#1,gv_pzkpfw38h735f#2</t>
  </si>
  <si>
    <t>2-й танковый батальон#uh_2armoredbattalion,sv_churchill3#3,uv_t26e4#1,gv_pzkpfws35739f#3,sv_btsv#3,sv_a32#3,uv_m22locust#3,gv_t15#3,sv_mk7tetrarch#1,sv_valentine2#3,uv_m4a2e4#3,gv_88pak43jagdtiger#1,gv_lowe#2,gv_pzkpfw38h735f#3,sv_is6#2,gv_vk3002(db)#3,gv_ferdinand#3</t>
  </si>
  <si>
    <t>Juter 12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</si>
  <si>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2-й танковый батальон#uh_2armoredbattalion,sv_churchill3#3,uv_t26e4#1,gv_vk3002(db)#3,gv_pzkpfws35739f#3,sv_btsv#3,sv_a32#3,sv_is6#2,gv_t15#3,sv_mk7tetrarch#1,sv_valentine2#3,uv_m4a2e4#3,gv_88pak43jagdtiger#1,gv_lowe#2,gv_pzkpfw38h735f#3,gv_ferdinand#3,sv_s51#3</t>
  </si>
  <si>
    <t>Juter 12#gh_pdjuterbog,gp_bauzugderpdmuncheberg#1,gp_feldmedizinerder14pd#1,gp_panzertunkerderpdholstein#3,go_rauftdeutcheware#3,go_arbeitedufuerdensieg#1,go_winterhifswerk#1,gv_gwpanther#2,sv_is6#1,gv_pzkpfwVItiger#1,gv_lowe#2,gv_hummel#2,gv_jagdpanther#1,gv_vk3001(p)#2,gv_grille#1,gv_jagdpziv#1,gv_pzkpfwIV#1,gv_sturmpanzerII#3,gv_stug3#1,gv_pzkpfwIIIslashIV#3,go_flammenwerfervor#1,go_volkssturm#3,gv_pzkpfwIIluchs#3,gv_hetzer#2</t>
  </si>
  <si>
    <t>Unsummon#uh_10thmountaindivision,gv_pzb2#3,gp_divisiondingenieureschlesien#1,up_mortarsof17division#1,uv_ramII#3,uv_t14#3,uo_thekeytothesituation#3,uv_m10#3,sv_matilda4#3,up_telephonistsofexpeditionaryforces#1,uv_m12#1,sv_kv220#3,uv_m37#3,uo_thismanisyoufriend#3,uv_t40#3,gp_auskundschaftersderpdmuncheberg#1,uv_m2lighttank#1,uo_crushprussian#1,uv_t30#3</t>
  </si>
  <si>
    <t>10-я горная дивизия#uh_10thmountaindivision,sv_churchill3#3,uv_t26e4#1,gv_vk3002(db)#3,gv_pzkpfws35739f#3,sv_btsv#3,sv_a32#3,sv_is6#2,gv_t15#3,gv_ferdinand#3,sv_mk7tetrarch#1,sv_valentine2#3,uv_m4a2e4#3,gv_88pak43jagdtiger#1,gv_lowe#2,sv_s51#3,gv_pzkpfw38h735f#3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</si>
  <si>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3,gv_pzkpfwII#3,gv_sturmpanzerIbison#2,gv_lowe#1,gv_gwtiger#2,gv_marderII#3,gv_pzkpfw38h735f#2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</si>
  <si>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2,gv_pzkpfwII#3,gv_sturmpanzerIbison#2,gv_lowe#1,gv_gwtiger#2,gv_marderII#3,gv_pzkpfw38h735f#2,gv_pzkpfw35(t)#1</t>
  </si>
  <si>
    <t>Juter 12#gh_pdjuterbog,gv_pzkpfwIIluchs#3,gv_pzkpfwIV#1,gv_vk3002(db)#1,gv_stug3#1,gp_panzertunkerderpdholstein#3,gv_vk3001(p)#2,go_inderstaub#1,sv_is6#2,gv_hummel#2,gv_jagdpziv#1,go_arbeitedufuerdensieg#1,go_winterhifswerk#1,gv_grille#1,go_rauftdeutcheware#3,go_volkssturm#2,gv_jagdpanther#1,gp_bauzugderpdmuncheberg#1,gv_pzkpfwIIIslashIV#3,gv_sturmpanzerII#3,gv_lowe#2,gv_gwpanther#2,gv_pzkpfwVItiger#1,gp_feldmedizinerder14pd#1,go_flammenwerfervor#1</t>
  </si>
  <si>
    <t>Танковая дивизия «Силезия»#gh_divisionschlesien,gv_pzkpfwIIluchs#1,gp_divisiondingenieureschlesien#3,gv_stug3#1,sv_btsv#3,gv_vk3001(p)#2,sv_a32#3,sv_is6#1,gv_hummel#2,go_rauftdeutcheware#3,gv_grille#1,sv_mk7tetrarch#1,go_dersiegwirdunsersein#3,sv_valentine2#3,gv_sturmpanzerII#3,gv_pzkpfwIIIslashIV#3,gv_lowe#2,gv_gwpanther#2,gv_pzkpfw38h735f#3</t>
  </si>
  <si>
    <t>11-я воздушно-десантная дивизия#uh_11thairbornedivision,uv_m36slugger#2,so_boltatvragupomogat#3,uv_t28prot#1,sv_btsv#3,sv_a32#3,uo_anappealtoyou#1,uo_thekeytothesituation#3,gv_t15#3,up_volunteersof29infantryregiment#1,gv_pzkpfwVpanther#1,uv_m10#3,up_sniperplatoonofthe82division#3,uo_freedomshallprevail#2,up_fieldsignalersofcontinentalarmy#3,uv_m12#1,uv_m44#1,uv_t32#1,uv_m6#2,uv_t30#3</t>
  </si>
  <si>
    <t>11-я воздушно-десантная дивизия#uh_11thairbornedivision,so_boltatvragupomogat#3,uv_t28prot#1,sv_btsv#2,sv_isu152#1,sv_a32#2,uo_thekeytothesituation#3,gv_t15#2,up_volunteersof29infantryregiment#1,gv_jagdtiger#2,uv_m10#3,gv_pzkpfwVpanther#2,uo_freedomshallprevail#2,up_sniperplatoonofthe82division#3,up_fieldsignalersofcontinentalarmy#2,uv_m12#1,gv_88pak43jagdtiger#1,uv_m44#1,gv_gwtiger#2,uv_t32#1,uv_m6#2,uv_t30#3</t>
  </si>
  <si>
    <t>26-29</t>
  </si>
  <si>
    <t>RUS#sh_uchebnayachast,gv_pzkpfwIV#1,gp_panzertunkerderpdholstein#3,gv_vk3001(p)#2,go_inderstaub#1,sv_is6#2,gv_hummel#2,gv_jagdpziv#1,go_arbeitedufuerdensieg#1,go_winterhifswerk#1,gv_grille#1,go_rauftdeutcheware#3,gv_jagdpanther#1,gv_ferdinand#2,gp_bauzugderpdmuncheberg#2,gv_pzkpfwIIIslashIV#3,gv_sturmpanzerII#3,gv_lowe#2,go_flammenwerfervor#1,sv_su26#1,sp_artilleristy17bobruiskoydivizii#1,gv_gwpanther#2,gv_pzkpfwVItiger#1,gv_vk3002(db)#1,gp_feldmedizinerder14pd#2</t>
  </si>
  <si>
    <t>11-я воздушно-десантная дивизия#uh_11thairbornedivision,sv_churchill3#2,so_boltatvragupomogat#2,sv_btsv#2,sv_a32#3,uo_thekeytothesituation#3,gv_t15#3,uv_m26pershing#1,uv_m10#3,gv_pzkpfwVpanther#2,up_sniperplatoonofthe82division#3,uo_freedomshallprevail#3,up_fieldsignalersofcontinentalarmy#2,uv_m4a2e4#3,uv_t40#3,uv_m6#2,uv_t30#3</t>
  </si>
  <si>
    <t>RUS#sh_uchebnayachast,gv_pzkpfwIV#1,gv_vk3002(db)#1,gp_panzertunkerderpdholstein#3,gv_vk3001(p)#2,sp_razvedchikibeloruskogofronta#1,go_inderstaub#1,sv_is6#2,gv_hummel#2,so_vzyatcel#1,gv_jagdpziv#1,go_arbeitedufuerdensieg#1,gv_grille#1,go_rauftdeutcheware#3,gv_jagdpanther#1,gv_ferdinand#2,sv_su122a#1,so_budgeroem#1,gp_bauzugderpdmuncheberg#2,gv_pzkpfwIIIslashIV#2,gv_sturmpanzerII#3,gv_lowe#2,gv_gwpanther#2,gv_pzkpfwVItiger#1,gp_feldmedizinerder14pd#2,sv_t46#1</t>
  </si>
  <si>
    <t>27 11-я воздушно-десантная дивизия#uh_11thairbornedivision,so_budbditelnym#2,so_boltatvragupomogat#3,uv_t28prot#1,sv_btsv#3,sv_a32#3,uo_anappealtoyou#2,uo_thekeytothesituation#3,gv_t15#3,uv_m26pershing#1,up_volunteersof29infantryregiment#1,uv_m10#3,gv_pzkpfwVpanther#1,up_sniperplatoonofthe82division#3,uo_freedomshallprevail#2,up_fieldsignalersofcontinentalarmy#3,sp_strelkiuzhnogofronta#1,uv_m12#1,uv_m6#1,uv_t30#3</t>
  </si>
  <si>
    <t>28 11-я воздушно-десантная дивизия#uh_11thairbornedivision,sv_churchill3#3,so_boltatvragupomogat#2,sv_btsv#2,sv_a32#3,uo_thekeytothesituation#3,gv_t15#3,uv_m26pershing#1,gv_pzkpfwVpanther#2,uv_m10#3,uo_freedomshallprevail#3,up_sniperplatoonofthe82division#3,up_fieldsignalersofcontinentalarmy#2,uv_m4a2e4#3,uv_t40#3,uv_m6#1,uv_t30#3</t>
  </si>
  <si>
    <t>27 T32 T28 T40#uh_11thairbornedivision,so_budbditelnym#2,so_boltatvragupomogat#2,sv_a32#3,uo_thekeytothesituation#3,gv_t15#3,uv_m26pershing#1,uv_m10#3,gv_pzkpfwVpanther#1,up_sniperplatoonofthe82division#3,uo_freedomshallprevail#2,up_fieldsignalersofcontinentalarmy#3,sp_strelkiuzhnogofronta#1,uv_m6#1,uv_t30#3,uv_t32#1,sv_churchill3#1,uv_m4a2e4#3,uv_t40#3,uv_t28prot#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</si>
  <si>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</si>
  <si>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</si>
  <si>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</si>
  <si>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</si>
  <si>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</si>
  <si>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</si>
  <si>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</si>
  <si>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</si>
  <si>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</si>
  <si>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</si>
  <si>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761</t>
  </si>
  <si>
    <t>546</t>
  </si>
  <si>
    <t>280</t>
  </si>
  <si>
    <t>166</t>
  </si>
  <si>
    <t>100</t>
  </si>
  <si>
    <t>45</t>
  </si>
  <si>
    <t>15</t>
  </si>
  <si>
    <t>0</t>
  </si>
  <si>
    <t>Prem</t>
  </si>
  <si>
    <t>5, 6A</t>
  </si>
  <si>
    <t>12,6</t>
  </si>
  <si>
    <t>29,5</t>
  </si>
  <si>
    <t>63,7</t>
  </si>
  <si>
    <t>3-я Краснознамённая дивизия#sh_3yakrasnoznamennayadivisiya,sv_t28#1,sv_t127#1,sp_pogranichniki12dagectanskoidivizii#1,gv_vk3002(db)#1,gp_panzertunkerderpdholstein#3,gv_vk3001(p)#2,go_inderstaub#1,sv_is6#2,gv_hummel#2,gv_jagdpziv#1,go_winterhifswerk#1,gv_grille#1,go_rauftdeutcheware#3,sv_su85#1,gv_ferdinand#1,go_volkssturm#3,gv_jagdpanther#1,gp_bauzugderpdmuncheberg#1,gv_sturmpanzerII#3,go_kampfbiszumende#1,gv_lowe#2,sv_s51#1,gv_gwpanther#2,gv_pzkpfwVItiger#1,gp_feldmedizinerder14pd#2,go_flammenwerfervor#1</t>
  </si>
  <si>
    <t>29 11-я воздушно-десантная дивизия#uh_11thairbornedivision,sv_churchill3#3,so_boltatvragupomogat#2,uv_t28prot#1,sv_a32#3,uo_thekeytothesituation#3,gv_t15#2,gv_pzkpfwVpanther#2,uv_m10#3,uo_freedomshallprevail#3,up_sniperplatoonofthe82division#3,up_fieldsignalersofcontinentalarmy#3,uv_m4a2e4#3,gv_88pak43jagdtiger#1,uv_t40#3,uv_t32#1,uv_m6#1,uv_t30#3</t>
  </si>
  <si>
    <t>«Мюнхеберг»#gh_pzgrmuncheberg,gv_pzkpfwIV#1,gv_pzb2#3,gp_panzertunkerderpdholstein#3,uv_ramII#3,gv_vk3001(p)#2,go_inderstaub#1,sv_is6#2,gv_hummel#2,gv_jagdpziv#1,go_arbeitedufuerdensieg#1,go_winterhifswerk#1,gv_grille#1,go_rauftdeutcheware#3,gv_jagdpanther#1,gv_ferdinand#2,go_volkssturm#3,gp_bauzugderpdmuncheberg#1,gv_pzkpfwIIIslashIV#3,gv_sturmpanzerII#3,gv_lowe#2,go_flammenwerfervor#1</t>
  </si>
  <si>
    <t>«Мюнхеберг»#gh_pzgrmuncheberg,sv_btsv#3,gv_pzkpfws35739f#3,gv_vk3001(p)#2,uv_m22locust#3,sv_a32#3,sv_is6#2,gv_hummel#2,gv_t15#3,go_rauftdeutcheware#3,gv_ferdinand#2,gv_jagdpanther#1,sv_mk7tetrarch#1,sv_valentine2#3,gp_bauzugderpdmuncheberg#2,gv_lowe#2,gv_gwpanther#2,gv_pzkpfw38h735f#3</t>
  </si>
  <si>
    <t>«Мюнхеберг»#gh_pzgrmuncheberg,gv_vk3002(db)#1,gp_panzertunkerderpdholstein#3,gv_vk3001(p)#2,go_inderstaub#1,sv_is6#2,gv_hummel#2,gv_jagdpziv#1,go_winterhifswerk#1,go_rauftdeutcheware#3,gv_grille#1,gv_ferdinand#2,gv_jagdpanther#1,go_volkssturm#3,gp_bauzugderpdmuncheberg#2,gv_pzkpfwIIIslashIV#3,gv_sturmpanzerII#3,gv_lowe#2,gv_gwpanther#2,gp_feldmedizinerder14pd#2,go_flammenwerfervor#1,go_arbeitedufuerdensieg#1,gv_pzkpfwIV#1</t>
  </si>
  <si>
    <t>27«Клаузевиц»#gh_divisionclausewitz,gv_pzkpfwIIluchs#3,so_budbditelnym#3,gv_pzkpfwIV#1,sv_btsv#3,go_inderstaub#2,gp_nachschubzugder9pd#3,gv_jagdpziv#2,go_arbeitedufuerdensieg#3,go_winterhifswerk#3,go_volkssturm#3,gp_bauzugderpdmuncheberg#2,gv_pzkpfwIIIslashIV#3,gv_sturmpanzerII#3,gv_gwpanther#1,gv_marderII#1,gv_wespe#1,gp_feldmedizinerder14pd#3</t>
  </si>
  <si>
    <t>Танковая дивизия «Клаузевиц»#gh_divisionclausewitz,gv_pzkpfwIIluchs#3,so_budbditelnym#3,sv_btsv#3,go_inderstaub#2,gp_nachschubzugder9pd#3,gv_jagdpziv#2,go_arbeitedufuerdensieg#3,go_winterhifswerk#3,go_rauftdeutcheware#1,go_volkssturm#3,go_deutchlandbefreiung#1,gp_bauzugderpdmuncheberg#2,so_boltyunnahodkadlyashpiona#2,gv_pzkpfwIIIslashIV#1,gv_sturmpanzerII#3,go_kampfbiszumende#2,gp_feldmedizinerder14pd#3</t>
  </si>
  <si>
    <t>11-я воздушно-десантная дивизия#uh_11thairbornedivision,sv_btsv#1,sv_a32#3,gv_t15#3,uv_m10#3,uv_m12#1,gv_88pak43jagdtiger#1,uv_m6#2,sv_valentine2#1,gv_pzkpfws35739f#2,uv_m4a2e4#3,sv_churchill3#3,uv_t26e4#1,sv_is6#2,gv_lowe#2,uv_t30#3,gv_pzkpfwVpanther#2,uv_m26pershing#1,uv_t32#1,uv_t28prot#1,uv_m44#1,up_mortarsof17division#2,gv_gwtiger#1</t>
  </si>
  <si>
    <t>3-я Краснознамённая дивизия#sh_3yakrasnoznamennayadivisiya,sv_su14#1,sp_pogranichniki12dagectanskoidivizii#1,gv_pzkpfwIV#1,gv_vk3001(p)#2,go_arbeitedufuerdensieg#1,gv_jagdtiger#1,go_rauftdeutcheware#3,gv_jagdpanther#1,gv_lowe#2,sv_s51#1,gv_gwpanther#2,so_nashedelopravoevragbudetrazbit#1,sv_kv1#1,sv_su100#1,sv_t34#1,gv_vk3002(db)#1,sv_su8#1,sp_saperiukrainskogofronta#1,go_inderstaub#1,sv_su152#1,gv_hummel#2,sv_is6#2,gv_jagdpziv#1,so_slavageroyampartizanam#1,gv_grille#1,gv_ferdinand#2,gp_bauzugderpdmuncheberg#2,gv_gwtiger#1,gv_pzkpfwVItiger#1,gp_feldmedizinerder14pd#2</t>
  </si>
  <si>
    <t>Танковая дивизия «Клаузевиц»#gh_divisionclausewitz,gv_pzkpfwIIluchs#1,so_budbditelnym#2,up_mortarsof17division#1,gp_divisiondingenieureschlesien#1,gp_panzertunkerderpdholstein#2,go_vaterlandodertod#3,go_inderstaub#2,gp_nachschubzugder9pd#2,go_arbeitedufuerdensieg#3,go_winterhifswerk#3,gv_jagdtiger#1,gv_pzkpfwVIbtigerII#1,sv_ob704#1,sp_telephonisty30divisiinkvd#1,go_volkssturm#2,go_politruklzhet#3,go_deutchlandbefreiung#1,gv_sturmpanzerII#3,gv_lowe#1,uo_thismanisyoufriend#3,gv_maus#1,gp_feldmedizinerder14pd#2</t>
  </si>
  <si>
    <t>4-я Кантемировская дивизия#sh_4kantemirovskayadivisiya,sv_bt2#1,sv_su14#2,so_budbditelnym#3,sv_t26#1,sv_su100#3,sv_t34#5,sv_su18#3,so_nashisilyneischislimy#3,sv_su76#3,sv_su5#1,sv_ms1#3,sv_su26#3,sv_mk7tetrarch#1,sv_matilda4#3,sv_at1#1,sv_kv220#3,sv_kv1s#1</t>
  </si>
  <si>
    <t>1ход</t>
  </si>
  <si>
    <t>1х + 2 дмг</t>
  </si>
  <si>
    <t>Fight 15</t>
  </si>
  <si>
    <t>Штаб ат 59</t>
  </si>
  <si>
    <t>Обратка 13</t>
  </si>
  <si>
    <t>Dm+m</t>
  </si>
  <si>
    <t>Танковая дивизия «Клаузевиц»#gh_divisionclausewitz,so_budbditelnym#3,up_mortarsof17division#1,gp_panzertunkerderpdholstein#2,go_vaterlandodertod#3,so_nashisilyneischislimy#3,gp_nachschubzugder9pd#3,go_arbeitedufuerdensieg#3,go_winterhifswerk#3,sp_telephonisty30divisiinkvd#1,gv_pzkpfwVIbtigerII#1,gv_pzkpfwVpanther#1,go_politruklzhet#3,go_derstirnderfaust#3,gv_sturmpanzerII#3,gv_lowe#2,uo_thismanisyoufriend#3,gp_feldmedizinerder14pd#2</t>
  </si>
  <si>
    <t>41-я танковая дивизия#sh_41ayatankovayadivisiya,gv_pzkpfwIIluchs#3,sv_su14#2,sp_strelkiuzhnogofronta#1,so_boltatvragupomogat#3,so_beynasmert#3,sv_t34#9,sp_saperiukrainskogofronta#3,sv_t3485#2,go_vaterlandodertod#3,gv_lowe#2,gv_gwtiger#2,gv_pzkpfwVItiger#1,sp_telephonisty30divisiinkvd#1,uv_m26pershing#1,gv_ferdinand#3,gv_pzkpfw38h735f#1</t>
  </si>
  <si>
    <t>11-я воздушно-десантная дивизия#uh_11thairbornedivision,sv_churchill3#2,so_boltatvragupomogat#2,uv_t28prot#1,sv_isu152#1,sv_a32#3,uo_thekeytothesituation#3,uv_m26pershing#1,sv_ob704#1,uv_m10#3,gv_pzkpfwVpanther#2,uo_freedomshallprevail#3,up_sniperplatoonofthe82division#3,up_fieldsignalersofcontinentalarmy#2,gv_88pak43jagdtiger#1,uv_m44#1,uv_t40#3,gv_gwtiger#2,uv_t32#1,uv_m6#2,uv_t30#3</t>
  </si>
  <si>
    <t>Танковая дивизия «Мюнхеберг»#gh_pzgrmuncheberg,sv_btsv#3,gv_pzkpfws35739f#3,gv_vk3001(p)#2,uv_m22locust#3,sv_a32#3,sv_is6#2,gv_hummel#2,gv_t15#2,go_rauftdeutcheware#3,gv_ferdinand#2,gv_jagdpanther#1,sv_mk7tetrarch#1,sv_valentine2#3,gp_bauzugderpdmuncheberg#2,gv_lowe#3,gv_gwpanther#2,gv_pzkpfw38h735f#2,sv_s51#1</t>
  </si>
  <si>
    <t>Танковая дивизия «Мюнхеберг»#gh_pzgrmuncheberg,sv_su14#1,sv_kv1#1,so_nashedelopravoevragbudetrazbit#1,sp_pogranichniki12dagectanskoidivizii#1,gv_vk3002(db)#1,sp_saperiukrainskogofronta#1,gv_pzkpfws35739f#3,sv_a32#3,sv_su152#1,sv_is6#2,gv_hummel#2,gv_jagdtiger#1,go_rauftdeutcheware#3,gv_jagdpanther#1,gv_ferdinand#2,gp_bauzugderpdmuncheberg#2,gv_88pak43jagdtiger#3,gv_lowe#3,gv_gwtiger#1,sv_s51#2,gv_gwpanther#2,gv_pzkpfwVItiger#1,gp_feldmedizinerder14pd#2</t>
  </si>
  <si>
    <t>60-я танковая дивизия#sh_60ayatankovayadivisiya,sv_kv1#2,sv_churchill3#1,sv_su100#2,so_boltatvragupomogat#3,sp_artilleristy17bobruiskoydivizii#1,sv_t34#2,sp_saperiukrainskogofronta#3,sv_isu152#1,gv_pzkpfws35739f#1,sv_a32#1,sv_su5#1,gv_t15#2,gv_jagdtiger#3,sp_telephonisty30divisiinkvd#1,sv_ob704#1,gv_pzkpfwVpanther#2,gv_gwtypee#1,up_sniperplatoonofthe82division#3,so_nazapad#2,sp_voenniyecriminalisty#1,gp_bauzugderpdmuncheberg#1,gv_gwtiger#2,gv_gwpanther#1,gp_feldmedizinerder14pd#1,uv_m6#1</t>
  </si>
  <si>
    <t>Танковая дивизия «Гольштейн»#gh_divisionholstein,gv_pzkpfwIIluchs#3,so_budbditelnym#3,gv_vk3002(db)#2,gv_pzb2#3,sv_a32#2,gp_nachschubzugder9pd#2,gv_t15#3,go_arbeitedufuerdensieg#1,gv_jagdtiger#2,gv_pzkpfwVIbtigerII#1,gv_pzkpfwVpanther#2,gv_gwtypee#1,up_sniperplatoonofthe82division#3,go_deutchlandbefreiung#3,gv_88pak43jagdtiger#1,gv_sturmpanzerII#3,gv_maus#1,gv_gwtiger#1,gv_gwpanther#2,gv_wespe#1</t>
  </si>
  <si>
    <t>Танковая дивизия «Мюнхеберг»#gh_pzgrmuncheberg,gv_vk3002(db)#1,gp_panzertunkerderpdholstein#3,gv_vk3001(p)#2,sv_is6#2,gv_hummel#2,gv_jagdpziv#1,go_winterhifswerk#1,go_rauftdeutcheware#3,gv_grille#1,gv_ferdinand#1,gv_jagdpanther#1,go_volkssturm#3,gp_bauzugderpdmuncheberg#2,gv_lowe#3,gp_feldmedizinerder14pd#2,go_flammenwerfervor#1,go_arbeitedufuerdensieg#1,gv_pzkpfwIV#1,gv_88pak43jagdtiger#3,gv_t15#3,sv_btsv#3</t>
  </si>
  <si>
    <t>Танковая дивизия «Гольштейн»#gh_divisionholstein,so_budbditelnym#2,gv_vk3002(db)#2,gv_pzb2#2,sv_a32#3,gp_nachschubzugder9pd#2,gv_t15#3,go_arbeitedufuerdensieg#1,gv_jagdtiger#2,gv_pzkpfwVIbtigerII#1,gv_pzkpfwVpanther#2,gv_gwtypee#1,up_sniperplatoonofthe82division#3,go_deutchlandbefreiung#3,sv_kv220#1,gv_88pak43jagdtiger#1,gv_sturmpanzerII#3,gv_lowe#1,gv_maus#2,gv_gwtiger#2,gv_gwpanther#2,gv_wespe#1</t>
  </si>
  <si>
    <t>Танковая дивизия «Ютербог»#gh_pdjuterbog,sp_vzvodtilovovoobespecheniya8armii#3,gv_pzkpfw38(t)#3,sv_su18#3,sv_btsv#3,gv_hummel#1,gp_nachaichtrnbrigadeder1pd#3,gv_hetzer#3,gv_pzkpfwII#3,sv_valentine2#3,gp_fernschreiberderpdkurmark#1,gv_leichttraktor#1,gp_bauzugderpdmuncheberg#1,uv_t2lt#2,gv_sturmpanzerII#1,gv_pzkpfw35(t)#3,gv_marderII#3,gv_pzkpfw38h735f#3</t>
  </si>
  <si>
    <t>Muncheberg Power 24#gh_pzgrmuncheberg,gv_pzkpfwIIluchs#3,so_udarmolota#3,gp_panzertunkerderpdholstein#1,go_vaterlandodertod#3,go_inderstaub#2,gp_nachschubzugder9pd#2,gv_hummel#1,go_arbeitedufuerdensieg#1,gv_jagdtiger#1,go_rauftdeutcheware#2,gv_pzkpfwVpanther#1,go_volkssturm#3,gv_pzkpfwII#2,gv_leichttraktor#2,gp_bauzugderpdmuncheberg#1,gv_sturmpanzerII#3,go_kampfbiszumende#3,gv_gwtiger#2,gv_gwpanther#1,gv_pzkpfw35(t)#3</t>
  </si>
  <si>
    <t>Hummels#gh_pdjuterbog,sp_vzvodtilovovoobespecheniya8armii#3,gv_pzkpfw38(t)#3,sv_su18#3,sv_btsv#3,gv_hummel#3,gp_nachaichtrnbrigadeder1pd#3,gv_hetzer#1,gv_pzkpfwII#3,sv_valentine2#3,gp_fernschreiberderpdkurmark#1,gv_leichttraktor#1,gp_bauzugderpdmuncheberg#1,uv_t2lt#2,gv_sturmpanzerII#1,gv_pzkpfw35(t)#3,gv_marderII#3,gv_pzkpfw38h735f#3</t>
  </si>
  <si>
    <t>NoArt#gh_divisionholstein,sv_ob212#1,so_budbditelnym#1,gv_vk3002(db)#1,gv_pzb2#2,sv_a32#3,go_inderstaub#3,gp_nachschubzugder9pd#2,gv_t15#3,go_arbeitedufuerdensieg#1,gv_pzkpfwVIbtigerII#1,gv_jagdtiger#3,gv_jagdpanther#1,gv_pzkpfwVpanther#2,gv_hetzer#1,go_deutchlandbefreiung#3,sv_kv220#1,gv_88pak43jagdtiger#1,go_kampfbiszumende#3,gv_lowe#2,gv_maus#2,gv_pzkpfwVItiger#1,uv_m6#2</t>
  </si>
  <si>
    <t>Танковая дивизия «Ютербог»#gh_pdjuterbog,gv_pzkpfwIIluchs#3,gv_pzkpfwVpanther#3,gv_sturmpanzerIbison#3,gv_marderII#3,go_rauftdeutcheware#1,gv_leichttraktor#2,gv_pzkpfwII#3,gv_pzkpfw35(t)#2,gv_hummel#2,gv_gwpanther#2,gv_lowe#1,gv_sturmpanzerII#3,gv_pzkpfwIIIslashIV#3,gv_pzkpfw38h735f#3,sv_btsv#1,gv_ferdinand#3,gv_gwtiger#2</t>
  </si>
  <si>
    <t>Танковая дивизия «Курмарк»#gh_divisionkurmark,gv_pzkpfwIIluchs#2,so_budbditelnym#3,sp_vzvodtilovovoobespecheniya8armii#2,sp_artilleristy17bobruiskoydivizii#3,gv_pzb2#2,sv_su18#1,gp_divisiondingenieureschlesien#1,uv_ramII#2,sv_btsv#1,gp_nachaichtrnbrigadeder1pd#3,sv_mk7tetrarch#1,gv_pzkpfwII#3,gp_fernschreiberderpdkurmark#3,sv_kv220#2,gv_sturmpanzerII#2,gv_pzkpfwIIIslashIV#1,gv_sturmpanzerIbison#2,gv_pzkpfw35(t)#1,gv_marderII#3,gp_auskundschaftersderpdmuncheberg#2</t>
  </si>
  <si>
    <t>Танковая дивизия «Курмарк»#gh_divisionkurmark,sv_ob212#1,so_budbditelnym#3,gv_pzb2#3,sv_su18#2,uv_ramII#3,gv_t25#1,sv_a32#1,uv_t14#1,gv_jagdtiger#1,gv_gwtypee#1,gv_pzkpfwVpanther#2,sv_matilda4#1,uo_freedomshallprevail#3,up_telephonistsofexpeditionaryforces#2,sv_kv220#2,gv_pzkpfwIIIslashIV#2,gv_maus#3,gv_gwtiger#1,gv_gwpanther#3,gp_auskundschaftersderpdmuncheberg#3,gv_pzkpfwII#1</t>
  </si>
  <si>
    <t>Танковая дивизия «Курмарк»#gh_divisionkurmark,sv_ob212#2,so_budbditelnym#3,gv_pzb2#3,sv_su18#2,uv_ramII#2,gv_t25#2,sv_ms1#2,gv_gwtypee#1,gv_pzkpfwVpanther#3,sv_matilda4#2,up_telephonistsofexpeditionaryforces#3,sv_kv220#2,gv_pzkpfwIIIslashIV#1,gv_maus#3,gv_gwpanther#1,gv_pzkpfw35(t)#3,gv_marderII#2,gp_auskundschaftersderpdmuncheberg#3</t>
  </si>
  <si>
    <t>21-й танковый батальон#sh_21tankoviybatallion,sv_churchill3#3,so_budbditelnym#3,sp_vzvodtilovovoobespecheniya8armii#2,sv_t34#2,gv_pzb2#3,sv_su18#3,uv_ramII#3,gv_t25#1,sv_a32#3,uv_t14#2,gv_t15#3,sv_matilda4#1,sv_kv220#3,uv_m4a2e4#3,gv_gwpanther#1,gp_auskundschaftersderpdmuncheberg#3,sv_kv1s#1</t>
  </si>
  <si>
    <t>21-й танковый батальон#sh_21tankoviybatallion,sv_ob212#2,sv_churchill3#3,sv_kv1#3,so_budbditelnym#3,sp_vzvodtilovovoobespecheniya8armii#1,sv_t34#1,gv_pzb2#3,sv_su18#3,uv_ramII#3,gv_t25#1,sv_a32#3,uv_t14#1,gv_t15#3,sv_matilda4#1,sv_kv220#3,uv_m4a2e4#3,gp_auskundschaftersderpdmuncheberg#3</t>
  </si>
  <si>
    <t>4-я Кантемировская дивизия#sh_4kantemirovskayadivisiya,sv_t127#2,so_budbditelnym#3,so_boltatvragupomogat#3,sp_vzvodtilovovoobespecheniya8armii#2,gv_pzb2#3,uv_ramII#3,gv_t25#1,sv_su5#1,sv_ms1#3,so_otstoimmoskvu#2,uv_t14#2,uv_t110e4#2,sp_telephonisty30divisiinkvd#1,sv_matilda4#3,sp_strelkiuzhnogofronta#1,sv_kv220#3,uo_thismanisyoufriend#3,gp_auskundschaftersderpdmuncheberg#2</t>
  </si>
  <si>
    <t>T30 Force#uh_3airbornetankbattalion,uv_m36slugger#3,uo_tovictory#3,uv_t28prot#1,uv_t26e4#1,up_mortarsof17division#2,uv_m2mediumtank#1,sv_a32#1,uo_anappealtoyou#1,uo_thekeytothesituation#3,uv_m10#3,uo_freedomshallprevail#2,up_sniperplatoonofthe82division#3,uv_m12#1,uv_m37#3,uo_backthemwithmoremetal#3,uv_m41#1,uv_m5stuart#1,uv_t40#3,uv_m6#1,uv_t30#3</t>
  </si>
  <si>
    <t>Muncheberg Power 24#gh_pzgrmuncheberg,gv_pzkpfwIIluchs#2,sp_vzvodtilovovoobespecheniya8armii#2,gv_vk3002(db)#1,sv_btsv#3,go_vaterlandodertod#3,go_inderstaub#1,gp_nachschubzugder9pd#2,go_arbeitedufuerdensieg#3,so_takbilotakbudet#1,go_rauftdeutcheware#3,gv_jagdtiger#1,gv_gwtypee#1,gv_ferdinand#2,gv_pzkpfwVpanther#3,gv_pzkpfwII#3,gv_sturmpanzerIbison#2,gv_lowe#1,gv_gwtiger#2,gv_pzkpfw35(t)#1,gv_marderII#3</t>
  </si>
  <si>
    <t>Танковая дивизия «Силезия»#gh_divisionschlesien,sv_t28#1,sv_t127#1,sp_pogranichniki12dagectanskoidivizii#1,gv_vk3002(db)#1,gp_panzertunkerderpdholstein#3,gv_vk3001(p)#2,go_inderstaub#1,sv_is6#2,gv_hummel#2,gv_jagdpziv#1,go_winterhifswerk#1,gv_grille#1,go_rauftdeutcheware#3,gv_pzkpfwVIbtigerII#1,go_volkssturm#3,gv_jagdpanther#1,gp_bauzugderpdmuncheberg#1,sv_kv220#1,gv_sturmpanzerII#3,sv_t3485#1,go_kampfbiszumende#1,gv_lowe#2,sv_s51#1,gv_gwpanther#2,gp_feldmedizinerder14pd#2,go_flammenwerfervor#1</t>
  </si>
  <si>
    <t>41-я танковая дивизия#sh_41ayatankovayadivisiya,sv_su14#2,gv_pzkpfwIIluchs#3,sp_vzvodtilovovoobespecheniya8armii#3,so_beynasmert#2,so_boltatvragupomogat#2,sv_t34#9,sp_saperiukrainskogofronta#3,go_vaterlandodertod#3,sp_telephonisty30divisiinkvd#1,gv_ferdinand#3,gv_pzkpfwII#1,sp_strelkiuzhnogofronta#1,gv_leichttraktor#2,gv_lowe#1,gv_gwtiger#2,gv_pzkpfw38h735f#2</t>
  </si>
  <si>
    <t>CCCP#sh_3yakrasnoznamennayadivisiya,sv_bt2#1,sv_su14#2,so_budbditelnym#3,sv_t26#1,sv_su100#3,sv_t34#5,sv_su18#3,so_nashisilyneischislimy#3,sv_su76#3,sv_su5#1,sv_ms1#3,sv_su26#3,sv_mk7tetrarch#1,sv_matilda4#3,sv_at1#1,sv_kv220#3,sv_kv1s#1</t>
  </si>
  <si>
    <t>CCCP#sh_3yakrasnoznamennayadivisiya,sv_su14#3,sv_kv1#3,so_boltatvragupomogat#3,sp_vzvodtilovovoobespecheniya8armii#3,sv_su100#2,sv_t34#2,sv_su8#2,sv_su18#2,so_nashisilyneischislimy#3,sp_razvedchikibeloruskogofronta#2,sv_su76#3,sv_su5#2,sv_ob704#1,sv_su122a#1,sv_mk7tetrarch#1,sv_matilda4#1,sv_valentine2#1,sv_is1#1,sv_s51#3,sv_t44#1</t>
  </si>
  <si>
    <t>41-я танковая дивизия#sh_41ayatankovayadivisiya,so_budbditelnym#3,sv_su100#1,so_boltatvragupomogat#3,sp_vzvodtilovovoobespecheniya8armii#3,sv_t34#3,sv_su18#2,sp_saperiukrainskogofronta#3,sv_btsv#3,sv_a32#1,sp_razvedchikibeloruskogofronta#1,sv_su76#3,uv_t110e4#2,sv_ob704#1,gv_gwtypee#1,sp_voenniyecriminalisty#1,gv_leichttraktor#3,so_boltyunnahodkadlyashpiona#1,gv_sturmpanzerII#1,gv_gwtiger#1,gp_auskundschaftersderpdmuncheberg#2,sv_t44#1</t>
  </si>
  <si>
    <t>Танковая дивизия «Мюнхеберг»#gh_pzgrmuncheberg,so_rodinamatzovet#1,so_nashedelopravoevragbudetrazbit#1,sv_btsv#3,gv_pzkpfws35739f#3,gv_vk3001(p)#2,uv_m22locust#2,sv_a32#3,sv_is6#2,gv_hummel#2,go_rauftdeutcheware#3,gv_pzkpfwVIbtigerII#1,gv_jagdpanther#1,gv_ferdinand#2,sv_mk7tetrarch#1,go_politruklzhet#1,sv_valentine2#3,gp_bauzugderpdmuncheberg#2,gv_lowe#2,gv_gwpanther#2,gv_pzkpfw38h735f#3</t>
  </si>
  <si>
    <t>7-й танковый корпус#sh_7tankoviikorpus,sv_churchill3#1,so_budbditelnym#3,sp_artilleristy17bobruiskoydivizii#3,sp_vzvodtilovovoobespecheniya8armii#2,sv_t34#1,gv_pzb2#2,gp_divisiondingenieureschlesien#1,sp_saperiukrainskogofronta#1,uv_ramII#2,gv_t25#2,sv_su76#3,so_vzyatcel#2,uv_t14#2,gv_pzkpfwII#1,sv_matilda4#2,sp_voenniyecriminalisty#1,so_nazapad#3,sv_kv220#2,sv_t3485#1,sv_s51#1,gp_auskundschaftersderpdmuncheberg#3,sv_t46#1</t>
  </si>
  <si>
    <t>7-й танковый корпус#sh_7tankoviikorpus,so_budbditelnym#3,so_boltatvragupomogat#3,sp_vzvodtilovovoobespecheniya8armii#1,sv_t34#3,gv_pzb2#3,uv_ramII#2,sv_btsv#1,sv_is7#3,sv_ms1#3,sv_su76#3,sv_is6#2,uv_m26pershing#1,sv_matilda4#1,up_telephonistsofexpeditionaryforces#2,sv_kv220#2,uv_t2lt#3,gp_auskundschaftersderpdmuncheberg#2,sv_t46#2</t>
  </si>
  <si>
    <t>7-й танковый корпус#sh_7tankoviikorpus,so_budbditelnym#3,so_boltatvragupomogat#3,sp_vzvodtilovovoobespecheniya8armii#2,sv_t34#3,gv_pzb2#3,sv_btsv#1,sv_su76#3,sv_is7#3,sv_ms1#3,sv_is6#2,uv_m26pershing#1,sp_telephonisty30divisiinkvd#1,sv_matilda4#1,up_telephonistsofexpeditionaryforces#2,sv_kv220#2,uv_t2lt#3,gp_auskundschaftersderpdmuncheberg#2,sv_t46#2</t>
  </si>
  <si>
    <t>7-й танковый корпус#sh_7tankoviikorpus,so_budbditelnym#3,so_boltatvragupomogat#1,sp_vzvodtilovovoobespecheniya8armii#2,sv_t34#2,gv_pzb2#3,sv_su76#3,sv_is7#3,sv_ms1#3,sv_is6#2,uv_m26pershing#1,sp_telephonisty30divisiinkvd#1,sv_matilda4#2,up_telephonistsofexpeditionaryforces#2,sv_kv220#3,uv_t2lt#3,gp_auskundschaftersderpdmuncheberg#2,sv_t46#2,uv_ramII#2</t>
  </si>
  <si>
    <t>7-й танковый корпус#sh_7tankoviikorpus,so_budbditelnym#3,sp_vzvodtilovovoobespecheniya8armii#3,gv_pzb2#3,uv_ramII#3,gv_t25#1,sv_is7#3,sv_ms1#3,sv_su76#1,sv_is6#2,uv_t14#2,uv_m26pershing#1,sp_telephonisty30divisiinkvd#1,sv_matilda4#2,up_telephonistsofexpeditionaryforces#3,sv_kv220#3,uv_t2lt#3,gp_auskundschaftersderpdmuncheberg#3</t>
  </si>
  <si>
    <t>7-й танковый корпус#sh_7tankoviikorpus,sv_kv1#3,sp_artilleristy17bobruiskoydivizii#3,sp_vzvodtilovovoobespecheniya8armii#2,gv_pzb2#3,sv_su76#3,sv_is7#3,sv_is6#3,gv_pzkpfwII#3,up_telephonistsofexpeditionaryforces#1,sp_voenniyecriminalisty#2,gp_fernschreiberderpdkurmark#1,sp_strelkiuzhnogofronta#1,sv_kv220#3,uv_m4a2e4#3,gv_gwtiger#1,uv_t32#1,gv_pzkpfwVItiger#1,gp_auskundschaftersderpdmuncheberg#1,uv_m6#2</t>
  </si>
  <si>
    <t>Танковая дивизия «Курмарк»#gh_divisionkurmark,sv_ob212#1,so_budbditelnym#3,gv_vk3002(db)#1,gv_pzb2#3,uv_ramII#3,gv_t25#2,sv_ms1#1,gv_jagdtiger#1,gv_pzkpfwVpanther#3,gv_gwtypee#1,sv_matilda4#1,gv_pzkpfwII#3,up_telephonistsofexpeditionaryforces#2,go_deutchlandbefreiung#3,gv_pzkpfwIIIslashIV#1,gv_sturmpanzerII#1,gv_maus#3,gv_gwtiger#1,gv_gwpanther#2,gv_pzkpfw35(t)#1,gv_marderII#1,gp_auskundschaftersderpdmuncheberg#2</t>
  </si>
  <si>
    <t>Танковая дивизия «Курмарк»#gh_divisionkurmark,go_tagderwehrmacht#3,so_budbditelnym#3,gv_pzb2#3,sv_su18#1,uv_ramII#3,gv_t25#2,sv_ms1#2,uv_t14#2,uv_t18#2,gv_pzkpfwII#3,sv_matilda4#3,uv_t1lt#1,up_telephonistsofexpeditionaryforces#3,sv_kv220#3,gv_maus#3,gp_auskundschaftersderpdmuncheberg#3</t>
  </si>
  <si>
    <t>Танковая дивизия «Курмарк»#gh_divisionkurmark,go_tagderwehrmacht#3,so_budbditelnym#3,gv_pzb2#3,sv_su18#3,uv_ramII#3,gv_t25#3,sv_ms1#3,uv_t18#2,sv_matilda4#3,sp_strelkiuzhnogofronta#3,sv_kv220#3,go_kameradderarbeit#1,gv_maus#1,gp_auskundschaftersderpdmuncheberg#3,uv_t14#3</t>
  </si>
  <si>
    <t>7-й танковый корпус#sh_7tankoviikorpus,sv_t28#3,sv_bt2#1,sv_t26#3,sp_vzvodtilovovoobespecheniya8armii#1,sv_t34#1,sv_su18#2,sv_a32#3,sv_su76#3,sv_is7#3,sv_is6#2,sp_telephonisty30divisiinkvd#1,gv_pzkpfwII#2,sp_voenniyecriminalisty#1,up_telephonistsofexpeditionaryforces#1,sp_strelkiuzhnogofronta#1,gv_leichttraktor#2,sv_at1#3,uv_t2lt#3,gv_88pak43jagdtiger#2,sv_s51#1,gp_auskundschaftersderpdmuncheberg#1</t>
  </si>
  <si>
    <t>Танковая дивизия «Клаузевиц»#gh_divisionclausewitz,gv_pzkpfwIIluchs#3,so_budbditelnym#1,up_mortarsof17division#1,gp_divisiondingenieureschlesien#1,gp_panzertunkerderpdholstein#2,sv_btsv#3,go_inderstaub#2,gp_nachschubzugder9pd#2,gv_jagdpziv#2,go_arbeitedufuerdensieg#3,go_winterhifswerk#3,gv_pzkpfwVIbtigerII#1,sp_telephonisty30divisiinkvd#1,go_volkssturm#3,go_politruklzhet#3,gv_sturmpanzerII#3,gv_lowe#1,uo_thismanisyoufriend#3,gp_feldmedizinerder14pd#2</t>
  </si>
  <si>
    <t>Танковая дивизия «Клаузевиц»#gh_divisionclausewitz,gv_pzkpfwIIluchs#2,so_budbditelnym#3,up_mortarsof17division#1,gp_divisiondingenieureschlesien#1,gp_panzertunkerderpdholstein#2,gp_nachschubzugder9pd#3,go_arbeitedufuerdensieg#3,go_winterhifswerk#3,so_takbilotakbudet#3,gv_pzkpfwVIbtigerII#1,go_politruklzhet#3,go_deutchlandbefreiung#2,go_derstirnderfaust#3,so_boltyunnahodkadlyashpiona#3,gv_lowe#2,uo_thismanisyoufriend#3,gp_feldmedizinerder14pd#2</t>
  </si>
  <si>
    <t>Танковая дивизия «Мюнхеберг»#gh_pzgrmuncheberg,sv_btsv#3,gv_pzkpfws35739f#3,uv_m22locust#3,sv_a32#3,gv_t15#3,sv_mk7tetrarch#1,sv_valentine2#3,gv_lowe#1,gv_pzkpfw38h735f#2,gv_leichttraktor#3,uv_t1lt#3,sv_ms1#3,uv_ramII#3,gv_t25#3,sv_matilda4#2,gv_pzb2#1</t>
  </si>
  <si>
    <t>2-й танковый батальон#uh_2armoredbattalion,so_budbditelnym#3,sp_vzvodtilovovoobespecheniya8armii#3,uo_imcountingonyou#1,gv_pzb2#3,uv_ramII#3,sv_ms1#3,uv_m40slashm43#1,uv_m26pershing#2,gv_gwtypee#1,sv_matilda4#1,up_sniperplatoonofthe82division#3,up_telephonistsofexpeditionaryforces#3,sp_strelkiuzhnogofronta#3,uv_t2lt#1,uv_m37#2,uv_m5stuart#1,gv_gwtiger#2,uv_t32#1,gp_auskundschaftersderpdmuncheberg#3</t>
  </si>
  <si>
    <t>11-я воздушно-десантная дивизия#uh_11thairbornedivision,sv_churchill3#2,uo_workorperish#1,so_boltatvragupomogat#2,sv_btsv#2,sv_a32#3,uv_m40slashm43#1,uv_t110e4#1,uo_thekeytothesituation#3,gv_t15#3,gv_pzkpfwVpanther#2,uv_m10#3,up_sniperplatoonofthe82division#3,uo_freedomshallprevail#3,up_fieldsignalersofcontinentalarmy#2,uv_m4a2e4#2,uv_t40#3,uv_m6#1,uv_t30#3</t>
  </si>
  <si>
    <t>11-я воздушно-десантная дивизия#uh_11thairbornedivision,so_boltatvragupomogat#3,uv_t28prot#1,sv_a32#2,uo_thekeytothesituation#2,gv_t15#1,up_volunteersof29infantryregiment#1,gv_jagdtiger#1,uv_m10#3,gv_pzkpfwVpanther#2,uo_freedomshallprevail#2,up_sniperplatoonofthe82division#3,up_fieldsignalersofcontinentalarmy#2,gv_88pak43jagdtiger#1,uv_m44#1,gv_gwtiger#2,uv_t32#1,uv_m6#2,uv_t30#3,uv_m40slashm43#1,uv_t110e4#2,sv_ob212#2,gv_maus#2</t>
  </si>
  <si>
    <t>60-я танковая дивизия#sh_60ayatankovayadivisiya,sv_ob212#1,sv_kv1#3,gv_pzb2#3,uv_ramII#3,gv_t25#3,sv_su76#3,gp_nachschubzugder9pd#1,uv_t14#3,gv_t15#2,gv_pzkpfwII#3,sv_matilda4#3,up_telephonistsofexpeditionaryforces#2,gv_leichttraktor#2,sv_kv220#3,gv_lowe#1,gv_pzkpfw35(t)#2,gp_auskundschaftersderpdmuncheberg#2</t>
  </si>
  <si>
    <t>Танковая дивизия «Силезия»#gh_divisionschlesien,gv_pzkpfwIIluchs#2,gv_pzkpfwIV#1,gv_vk3002(db)#3,up_mortarsof17division#2,gp_nachschubzugder9pd#2,go_arbeitedufuerdensieg#3,go_winterhifswerk#3,gv_jagdtiger#3,gv_pzkpfwVpanther#2,go_politruklzhet#3,go_derstirnderfaust#1,gv_sturmpanzerII#1,gv_sturmpanzerIbison#3,uo_thismanisyoufriend#3,gv_gwpanther#1,gv_pzkpfw35(t)#1,gv_marderII#3,gv_wespe#3</t>
  </si>
  <si>
    <t>Танковая дивизия «Силезия»#gh_divisionschlesien,gv_vk3002(db)#2,gv_pzb2#2,gv_jagdpze100#2,gp_nachschubzugder9pd#3,go_arbeitedufuerdensieg#2,gv_pzkpfwVIbtigerII#1,gv_jagdtiger#2,gv_gwtypee#1,gv_pzkpfwII#3,go_politruklzhet#3,go_derstirnderfaust#2,gv_lowe#2,uo_thismanisyoufriend#3,gv_gwtiger#2,gv_gwpanther#2,go_inderstaub#3,up_sniperplatoonofthe82division#3,gv_wespe#1,gv_pzkpfwIIIslashIV#1</t>
  </si>
  <si>
    <t>Танковая дивизия «Курмарк»#gh_divisionkurmark,go_tagderwehrmacht#3,so_budbditelnym#3,gv_pzb2#3,sv_su18#3,uv_ramII#3,gv_t25#3,sv_ms1#3,sv_matilda4#3,sp_strelkiuzhnogofronta#3,sv_kv220#3,go_kameradderarbeit#1,gv_maus#2,gp_auskundschaftersderpdmuncheberg#3,uv_t14#3,gv_pzkpfw35(t)#1</t>
  </si>
  <si>
    <t>Танковая дивизия «Ютербог»#gh_pdjuterbog,gv_pzkpfwIIluchs#1,gv_pzkpfwIV#1,go_vaterlandodertod#3,gp_nachschubzugder9pd#2,go_arbeitedufuerdensieg#3,go_rauftdeutcheware#3,gv_jagdtiger#3,gv_pzkpfwVpanther#3,go_volkssturm#3,gv_pzkpfwII#2,gv_leichttraktor#3,go_derstirnderfaust#2,go_kampfbiszumende#3,gv_gwtiger#1,gv_gwpanther#1,gv_marderII#2,gv_wespe#2,gv_pzkpfw38h735f#2</t>
  </si>
  <si>
    <t>Arta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</si>
  <si>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110#uh_3airbornetankbattalion,uv_m36slugger#3,so_boltatvragupomogat#3,uv_t28prot#1,up_mortarsof17division#1,uv_m40slashm43#1,uo_anappealtoyou#1,uv_t110e4#2,uo_thekeytothesituation#3,sp_telephonisty30divisiinkvd#1,gv_gwtypee#1,uv_m10#3,up_sniperplatoonofthe82division#3,uo_freedomshallprevail#3,gv_88pak43jagdtiger#1,uo_backthemwithmoremetal#3,uo_thismanisyoufriend#3,uv_t40#3,uv_t32#1,uv_t30#3</t>
  </si>
  <si>
    <t>Art#gh_pzgrmuncheberg,gv_pzkpfwIIluchs#3,sp_vzvodtilovovoobespecheniya8armii#2,gp_nachschubzugder9pd#2,gv_hummel#2,go_rauftdeutcheware#3,gv_pzkpfwII#2,uo_freedomshallprevail#3,sv_ob261#3,gv_leichttraktor#2,uv_t2lt#2,gv_sturmpanzerII#3,gv_gwtiger#2,gv_gwpanther#2,gv_pzkpfw35(t)#3,gv_marderII#3,gv_pzkpfw38h735f#3</t>
  </si>
  <si>
    <t>Art#gh_pzgrmuncheberg,gv_pzkpfwIIluchs#3,sp_vzvodtilovovoobespecheniya8armii#2,gv_pzb2#2,gp_nachschubzugder9pd#2,gv_hummel#1,go_arbeitedufuerdensieg#2,go_rauftdeutcheware#3,gv_pzkpfwII#2,uo_freedomshallprevail#3,sv_ob261#3,go_derstirnderfaust#2,uv_t2lt#1,gv_sturmpanzerII#2,gv_gwtiger#2,gv_gwpanther#3,gv_pzkpfw35(t)#1,gv_marderII#3,gv_pzkpfw38h735f#3</t>
  </si>
  <si>
    <t>Танковая дивизия «Гольштейн»#gh_divisionholstein,sv_ob212#1,gv_vk3002(db)#1,sv_a32#3,go_inderstaub#3,gp_nachschubzugder9pd#3,gv_t15#3,go_arbeitedufuerdensieg#1,gv_pzkpfwVIbtigerII#1,gv_jagdtiger#3,gv_pzkpfwVpanther#2,gv_gwtypee#1,go_deutchlandbefreiung#3,gv_88pak43jagdtiger#1,go_kampfbiszumende#3,gv_lowe#2,gv_maus#3,gv_gwtiger#2,gv_gwpanther#2,gv_pzkpfwVItiger#1,uv_m6#1</t>
  </si>
  <si>
    <t>110-3#uh_3airbornetankbattalion,uv_m36slugger#3,so_boltatvragupomogat#1,uv_t28prot#1,gv_pzb2#3,sv_su18#3,up_mortarsof17division#1,uo_anappealtoyou#1,uv_t110e4#2,uo_thekeytothesituation#2,sp_telephonisty30divisiinkvd#1,uv_m10#3,sv_matilda4#3,uo_freedomshallprevail#2,up_sniperplatoonofthe82division#3,sv_kv220#1,uv_t2lt#1,uo_backthemwithmoremetal#1,uo_thismanisyoufriend#1,uv_t40#3,uv_t32#1,uv_t30#3</t>
  </si>
  <si>
    <t>501#uh_3airbornetankbattalion,uv_m36slugger#1,up_mortarsof17division#1,uv_ramII#3,uv_m2mediumtank#3,gv_t25#1,sv_ms1#1,uv_t14#1,uv_t110e4#2,uo_thekeytothesituation#3,sp_telephonisty30divisiinkvd#1,sv_matilda4#1,up_sniperplatoonofthe82division#3,uo_freedomshallprevail#3,up_telephonistsofexpeditionaryforces#1,uv_m12#2,sv_kv220#1,uo_backthemwithmoremetal#1,uv_m3stuart#1,uo_thismanisyoufriend#1,uv_t32#2,up_crewof501airdefensebattalion#2,uv_m2lighttank#2,uv_m7priest#2,uv_t30#1</t>
  </si>
  <si>
    <t>Танковая дивизия «Курмарк»#gh_divisionkurmark,go_tagderwehrmacht#3,so_budbditelnym#3,gv_pzb2#3,sv_su18#1,uv_ramII#3,gv_t25#3,sv_ms1#3,uv_t14#1,gv_pzkpfwVpanther#2,gv_pzkpfwII#2,sv_matilda4#3,up_telephonistsofexpeditionaryforces#3,sv_kv220#3,gv_maus#3,gv_pzkpfw35(t)#1,gp_auskundschaftersderpdmuncheberg#3</t>
  </si>
  <si>
    <t>Танковая дивизия «Курмарк»#gh_divisionkurmark,gv_pzb2#3,sv_su18#2,uv_ramII#3,gv_t25#2,sv_ms1#3,uv_t14#2,gv_jagdtiger#1,gv_gwtypee#1,gv_pzkpfwVpanther#2,sv_matilda4#3,up_telephonistsofexpeditionaryforces#3,gv_leichttraktor#2,sv_kv220#3,gv_maus#3,gv_gwpanther#1,gv_pzkpfw35(t)#1,gp_auskundschaftersderpdmuncheberg#3,sv_ob212#2</t>
  </si>
  <si>
    <t>T57</t>
  </si>
  <si>
    <t>1 at t H</t>
  </si>
  <si>
    <t>include</t>
  </si>
  <si>
    <t>exclude</t>
  </si>
  <si>
    <t>(at PtA) +2d</t>
  </si>
  <si>
    <t>Mask#uh_11mechanizedreconnaissancesquadron,uv_m36slugger#2,sv_ob212#1,so_boltatvragupomogat#2,gp_divisiondingenieureschlesien#1,up_mortarsof17division#2,sv_a32#3,uo_thekeytothesituation#2,uv_m26pershing#2,gv_pzkpfwVpanther#3,uo_freedomshallprevail#2,up_sniperplatoonofthe82division#3,up_telephonistsofexpeditionaryforces#3,sp_voenniyecriminalisty#1,uv_m46patton#1,uv_t2lt#2,uv_m5stuart#3,uv_t32#3,uv_m6#3,uv_t30#1</t>
  </si>
  <si>
    <t>21-й танковый батальон#sh_21tankoviybatallion,sv_ob212#3,sv_kv1#3,so_budbditelnym#3,sp_vzvodtilovovoobespecheniya8armii#2,sv_t34#1,gv_pzb2#3,sv_su18#3,uv_ramII#3,sv_a32#3,gv_t15#1,sv_su26#2,gv_pzkpfwVpanther#3,sv_matilda4#1,up_telephonistsofexpeditionaryforces#1,sp_strelkiuzhnogofronta#1,sv_kv220#2,uv_m4a2e4#3,gp_auskundschaftersderpdmuncheberg#2</t>
  </si>
  <si>
    <t>7-й танковый корпус#sh_7tankoviikorpus,so_budbditelnym#3,sp_vzvodtilovovoobespecheniya8armii#3,sv_t26#3,so_udarmolota#3,sv_su18#3,uv_ramII#3,gv_t25#3,sv_ms1#3,so_takbilotakbudet#2,uv_t18#2,sv_matilda4#3,so_nazapad#2,sp_strelkiuzhnogofronta#2,gp_auskundschaftersderpdmuncheberg#2,sv_t46#3</t>
  </si>
  <si>
    <t>Maus#uh_11mechanizedreconnaissancesquadron,sv_ob212#2,go_tagderwehrmacht#3,so_budbditelnym#3,gv_pzb2#3,sv_su18#2,uv_ramII#2,gv_t25#2,sv_ms1#3,uv_t14#2,gv_jagdtiger#1,gv_gwtypee#1,gv_pzkpfwVpanther#3,sv_matilda4#2,up_telephonistsofexpeditionaryforces#2,gv_leichttraktor#1,sv_kv220#2,gv_maus#3,gp_auskundschaftersderpdmuncheberg#3</t>
  </si>
  <si>
    <t>cHp</t>
  </si>
  <si>
    <t>cm</t>
  </si>
  <si>
    <t>cDm+cm</t>
  </si>
  <si>
    <t>cDm</t>
  </si>
  <si>
    <t>Dm+m/балансный вес</t>
  </si>
  <si>
    <t>T30 Force#uh_3airbornetankbattalion,go_tagderwehrmacht#3,so_budbditelnym#3,gv_pzb2#2,sv_su18#3,up_mortarsof17division#2,uv_ramII#2,uv_m40slashm43#1,uv_t14#2,uv_t110e4#2,sp_telephonisty30divisiinkvd#1,uv_m10#3,up_telephonistsofexpeditionaryforces#2,uv_t57#2,sv_kv220#1,uv_t2lt#2,uv_m44#2,gp_auskundschaftersderpdmuncheberg#3,uv_m7priest#1,uv_t30#3</t>
  </si>
  <si>
    <t>JgE100#gh_divisionschlesien,gv_pzkpfwIIluchs#1,so_budbditelnym#3,gv_vk3002(db)#2,gv_pzb2#3,gv_t25#3,gv_jagdpze100#2,gp_nachschubzugder9pd#3,gv_hummel#3,go_arbeitedufuerdensieg#1,gv_jagdtiger#2,gv_pzkpfwII#3,gv_leichttraktor#3,go_derstirnderfaust#1,gv_sturmpanzerII#2,gv_gwtiger#2,gv_gwpanther#3,gv_pzkpfw35(t)#1,gv_marderII#2</t>
  </si>
  <si>
    <t>dis M</t>
  </si>
  <si>
    <t>Танковая дивизия «Курмарк»#gh_divisionkurmark,sv_ob212#1,gv_vk3002(db)#1,go_inderstaub#3,gv_jagdpze100#2,gp_nachschubzugder9pd#2,uv_t110e4#2,gv_jagdtiger#3,gv_gwtypee#1,gv_pzkpfwVpanther#3,up_sniperplatoonofthe82division#2,go_deutchlandbefreiung#3,uv_m46patton#1,gv_maus#3,gv_gwtiger#2,gv_gwpanther#2,so_boltatvragupomogat#3,uo_thekeytothesituation#3,uo_freedomshallprevail#1,go_arbeitedufuerdensieg#2</t>
  </si>
  <si>
    <t>3+2</t>
  </si>
  <si>
    <t>6+3</t>
  </si>
  <si>
    <t>4+6</t>
  </si>
  <si>
    <t>tHd</t>
  </si>
  <si>
    <t>2+1+2</t>
  </si>
  <si>
    <t>0+1+2</t>
  </si>
  <si>
    <t>2+7</t>
  </si>
  <si>
    <t>1+5</t>
  </si>
  <si>
    <t>соп сдался</t>
  </si>
  <si>
    <t>70ходо соп декнулся</t>
  </si>
  <si>
    <t>я декнулся</t>
  </si>
  <si>
    <t>wint</t>
  </si>
  <si>
    <t>polit</t>
  </si>
  <si>
    <t>бдит</t>
  </si>
  <si>
    <t>med</t>
  </si>
  <si>
    <t>+</t>
  </si>
  <si>
    <t>Танковая дивизия «Мюнхеберг»#gh_pzgrmuncheberg,sv_kv1#1,so_nashedelopravoevragbudetrazbit#1,sp_pogranichniki12dagectanskoidivizii#1,gv_vk3002(db)#1,sp_saperiukrainskogofronta#1,gv_pzkpfws35739f#3,sv_a32#3,sv_su152#1,sv_is6#2,gv_hummel#2,gv_jagdtiger#1,gv_pzkpfwVIbtigerII#1,go_rauftdeutcheware#3,gv_jagdpanther#1,gv_ferdinand#2,gp_bauzugderpdmuncheberg#2,gv_88pak43jagdtiger#3,gv_lowe#3,gv_gwtiger#1,sv_s51#2,gv_gwpanther#2,gv_pzkpfwVItiger#1,gp_feldmedizinerder14pd#2</t>
  </si>
  <si>
    <t>Танковая дивизия «Клаузевиц»#gh_divisionclausewitz,gv_pzkpfwIIluchs#2,so_budbditelnym#1,up_mortarsof17division#1,go_vaterlandodertod#3,gv_jagdpze100#2,gp_nachschubzugder9pd#3,uo_thekeytothesituation#3,go_arbeitedufuerdensieg#3,go_winterhifswerk#3,gv_pzkpfwVIbtigerII#1,gv_gwtypee#1,go_politruklzhet#3,go_deutchlandbefreiung#2,go_derstirnderfaust#2,gv_lowe#2,uo_thismanisyoufriend#3,gv_maus#3,gp_feldmedizinerder14pd#2</t>
  </si>
  <si>
    <t>получ мюнх</t>
  </si>
  <si>
    <t>11 Squadron 27#uh_11mechanizedreconnaissancesquadron,sv_ob212#1,sv_kv1#2,uv_t110e4#2,gv_jagdtiger#1,uv_t25slash2#2,gv_gwtypee#1,gv_pzkpfwVpanther#3,uo_freedomshallprevail#3,uv_m46patton#1,uv_m3lee#1,gv_maus#3,uv_t32#3,gv_gwtiger#2,uv_m6#3,uv_m4a3e8sherman#9,uv_t30#3</t>
  </si>
  <si>
    <t>IS7#sh_7tankoviikorpus,go_tagderwehrmacht#3,so_budbditelnym#3,gv_pzb2#3,sv_su18#3,uv_ramII#3,gv_t25#3,sv_is7#1,sv_ms1#3,uv_t14#3,uv_t18#2,sv_matilda4#3,sp_strelkiuzhnogofronta#3,sv_kv220#3,go_kameradderarbeit#1,gp_auskundschaftersderpdmuncheberg#3</t>
  </si>
  <si>
    <t>261AT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</si>
  <si>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261AT#uh_2armoredbattalion,go_tagderwehrmacht#3,so_budbditelnym#3,uo_imcountingonyou#1,sp_vzvodtilovovoobespecheniya8armii#2,gv_pzb2#1,uv_ramII#1,gv_t25#1,uv_m26pershing#2,gv_gwtypee#1,sv_matilda4#1,up_sniperplatoonofthe82division#3,gp_fernschreiberderpdkurmark#2,sv_ob261#3,sp_strelkiuzhnogofronta#2,uv_m46patton#1,sv_kv220#1,uv_t2lt#2,uv_m37#3,uv_m44#2,gv_gwtiger#2,uv_t32#3</t>
  </si>
  <si>
    <t>261DEF#uh_2armoredbattalion,go_tagderwehrmacht#3,so_budbditelnym#3,uo_imcountingonyou#1,sp_vzvodtilovovoobespecheniya8armii#1,gv_pzb2#1,uv_m26pershing#3,sv_matilda4#1,up_sniperplatoonofthe82division#2,gp_fernschreiberderpdkurmark#1,sv_ob261#3,sp_strelkiuzhnogofronta#1,uv_m46patton#1,sv_kv220#1,uv_m37#3,uv_m44#2,gv_gwtiger#2,uv_t32#3,gp_auskundschaftersderpdmuncheberg#3,up_telephonistsofexpeditionaryforces#3,up_mortarsof17division#1,uv_t2lt#1</t>
  </si>
  <si>
    <t>41-я танковая дивизия#sh_41ayatankovayadivisiya,sv_su14#2,so_boltatvragupomogat#3,sv_t34#9,sp_saperiukrainskogofronta#3,go_vaterlandodertod#3,so_otstoimmoskvu#3,sp_telephonisty30divisiinkvd#1,gv_pzkpfwII#2,gv_leichttraktor#1,sp_strelkiuzhnogofronta#1,gv_pzkpfwIIIslashIV#3,sv_t3485#2,gv_lowe#1,gv_gwtiger#2,gv_pzkpfw38h735f#1,sv_ob704#1,uv_m26pershing#1,uv_t2lt#1</t>
  </si>
  <si>
    <t>41-я танковая дивизия#sh_41ayatankovayadivisiya,sv_su14#3,so_boltatvragupomogat#3,sv_t34#4,sp_saperiukrainskogofronta#2,so_otstoimmoskvu#2,sp_telephonisty30divisiinkvd#1,gv_pzkpfwII#1,gv_leichttraktor#3,sp_strelkiuzhnogofronta#1,gv_gwtiger#2,sv_t127#2,so_budbditelnym#3,so_udarmolota#3,gv_pzb2#3,uv_ramII#2,gp_auskundschaftersderpdmuncheberg#3,sp_vzvodtilovovoobespecheniya8armii#1,sv_ms1#1</t>
  </si>
  <si>
    <t>41-я танковая дивизия#sh_41ayatankovayadivisiya,so_rodinamatzovet#1,so_budbditelnym#1,sv_t26#3,sp_vzvodtilovovoobespecheniya8armii#2,so_udarmolota#3,sv_su8#2,sp_saperiukrainskogofronta#2,gv_t25#3,sv_ms1#3,sv_matilda4#3,so_nazapad#2,sp_strelkiuzhnogofronta#2,sv_kv220#3,sv_t3485#2,sv_s51#3,gp_auskundschaftersderpdmuncheberg#2,sv_t46#3</t>
  </si>
  <si>
    <t>41-я танковая дивизия#sh_41ayatankovayadivisiya,go_tagderwehrmacht#3,so_budbditelnym#3,sp_vzvodtilovovoobespecheniya8armii#3,gv_pzb2#3,so_udarmolota#3,sv_su18#3,uv_ramII#2,gv_t25#1,sv_ms1#2,so_otstoimmoskvu#3,sv_su26#3,sv_matilda4#2,up_telephonistsofexpeditionaryforces#3,sp_strelkiuzhnogofronta#1,gv_leichttraktor#1,gv_pzkpfw35(t)#1,gp_auskundschaftersderpdmuncheberg#3</t>
  </si>
  <si>
    <t>12m4a3e8#uh_11mechanizedreconnaissancesquadron,sv_ob212#3,up_telephonistsofexpeditionaryforces#3,go_tagderwehrmacht#3,so_budbditelnym#3,gv_pzb2#3,sv_kv220#1,uv_m37#3,uv_t14#1,gp_auskundschaftersderpdmuncheberg#3,gv_pzkpfwVpanther#2,uo_freedomshallprevail#3,uv_m4a3e8sherman#12</t>
  </si>
  <si>
    <t>PT#uh_11mechanizedreconnaissancesquadron,sv_ob212#1,so_budbditelnym#3,so_boltatvragupomogat#3,uv_t28prot#2,gv_pzb2#1,uv_ramII#1,uv_m2mediumtank#1,sv_a32#3,uv_t110e4#2,uo_thekeytothesituation#3,uv_m10#3,uo_freedomshallprevail#2,up_telephonistsofexpeditionaryforces#1,uv_m12#1,uo_avengedecember7#1,uv_t2lt#1,uv_m37#2,uv_t40#3,gp_auskundschaftersderpdmuncheberg#2,uv_m6#1,uv_t30#3</t>
  </si>
  <si>
    <t>xMana#uh_3airbornetankbattalion,gv_pzb2#3,uv_m2mediumtank#3,uv_t110e4#2,uo_enlistinthewaves#1,uo_thekeytothesituation#3,sp_telephonisty30divisiinkvd#2,uv_m10#3,uo_freedomshallprevail#1,up_sniperplatoonofthe82division#3,uv_m12#2,uv_t2lt#1,uv_m3lee#2,uo_backthemwithmoremetal#2,uv_t1heavy#2,uo_thismanisyoufriend#3,uv_t32#3,up_crewof501airdefensebattalion#2,uv_t30#2</t>
  </si>
  <si>
    <t>cD+H</t>
  </si>
  <si>
    <t>Танковая дивизия «Силезия»#gh_divisionschlesien,sp_pogranichniki12dagectanskoidivizii#2,gv_vk3002(db)#3,gv_pzkpfw38(t)#3,sv_kv5#1,sv_a32#3,gv_jagdpze100#2,uv_t110e5#1,gp_nachschubzugder9pd#3,go_arbeitedufuerdensieg#1,sp_telephonisty30divisiinkvd#2,gv_jagdtiger#3,gv_gwtypee#1,go_politruklzhet#3,go_derstirnderfaust#1,gv_lowe#2,gv_maus#3,gv_gwtiger#2,gv_gwpanther#2,gv_pzkpfwVItiger#1,sv_t44#1</t>
  </si>
  <si>
    <t>Танковая дивизия «Силезия»#gh_divisionschlesien,gv_panzerjagerI#1,gv_pzb2#3,gv_pzkpfw38(t)#3,gv_vk3002(db)#3,gv_t25#3,sv_a32#3,gp_nachschubzugder9pd#2,go_arbeitedufuerdensieg#1,uv_t18#3,go_politruklzhet#3,sp_strelkiuzhnogofronta#2,go_derstirnderfaust#2,sv_kv220#2,gv_gwtiger#2,gv_pzkpfw35(t)#2,gv_marderII#2,gv_wespe#3</t>
  </si>
  <si>
    <t>+1C</t>
  </si>
  <si>
    <t>Танковая дивизия «Силезия»#gh_divisionschlesien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</si>
  <si>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n_basic_starter2#gh_trainingslager,gv_pzkpfwIIluchs#3,so_budbditelnym#3,gv_vk3002(db)#1,gv_pzb2#2,sv_btsv#3,sv_a32#2,go_arbeitedufuerdensieg#1,gp_nachaichtrnbrigadeder1pd#3,gv_pzkpfwVpanther#2,sv_mk7tetrarch#1,gv_pzkpfwII#3,up_telephonistsofexpeditionaryforces#1,gp_fernschreiberderpdkurmark#1,gp_bauzugderpdmuncheberg#2,gv_sturmpanzerII#3,gv_sturmpanzerIbison#3,gv_pzkpfw35(t)#3,gv_marderII#3</t>
  </si>
  <si>
    <t>Tig2#gh_trainingslager,go_tagderwehrmacht#1,so_budbditelnym#3,gv_panzerjagerI#1,gv_pzb2#3,so_udarmolota#3,sv_su18#3,uv_ramII#2,gv_t25#1,sv_ms1#3,gv_pzkpfwVIbtigerII#2,sv_matilda4#1,go_dersiegwirdunsersein#3,uv_t1lt#3,sp_strelkiuzhnogofronta#2,gv_leichttraktor#3,uv_t2lt#3,gv_pzkpfw35(t)#1,gp_auskundschaftersderpdmuncheberg#2</t>
  </si>
  <si>
    <t>(df) +1C</t>
  </si>
  <si>
    <t/>
  </si>
  <si>
    <t>ShturmPz#gh_trainingslager,so_budbditelnym#3,sp_vzvodtilovovoobespecheniya8armii#2,gv_pzb2#3,so_udarmolota#3,sv_su18#3,uv_ramII#3,gv_t25#3,sv_ms1#2,sv_matilda4#3,uv_t1lt#2,up_telephonistsofexpeditionaryforces#1,sp_strelkiuzhnogofronta#2,uv_t2lt#2,gv_sturmpanzerII#3,gv_pzkpfw35(t)#3,gp_auskundschaftersderpdmuncheberg#2</t>
  </si>
  <si>
    <t>m+h</t>
  </si>
  <si>
    <t>d+m</t>
  </si>
  <si>
    <t>*</t>
  </si>
  <si>
    <t>41-я танковая дивизия#sh_41ayatankovayadivisiya,up_mortarsof17division#2,gp_panzertunkerderpdholstein#1,go_vaterlandodertod#3,so_nashisilyneischislimy#3,gp_nachschubzugder9pd#3,go_arbeitedufuerdensieg#3,go_winterhifswerk#2,sp_telephonisty30divisiinkvd#1,gv_pzkpfwVIbtigerII#1,gv_jagdtiger#1,gv_pzkpfwVpanther#1,go_politruklzhet#3,go_deutchlandbefreiung#3,go_derstirnderfaust#2,gv_sturmpanzerII#3,gv_lowe#2,uo_thismanisyoufriend#3,gv_maus#1,gp_feldmedizinerder14pd#2</t>
  </si>
  <si>
    <t>Arb#gh_divisionclausewitz,go_tagderwehrmacht#2,so_budbditelnym#3,so_udarmolota#3,gv_pzb2#3,gv_vk3002(db)#3,gp_divisiondingenieureschlesien#1,gp_nachschubzugder9pd#3,go_arbeitedufuerdensieg#3,go_winterhifswerk#3,so_takbilotakbudet#1,go_politruklzhet#1,up_telephonistsofexpeditionaryforces#2,sp_strelkiuzhnogofronta#2,so_boltyunnahodkadlyashpiona#3,go_derstirnderfaust#3,gv_lowe#1,gp_auskundschaftersderpdmuncheberg#3</t>
  </si>
  <si>
    <t>Mech#gh_divisionclausewitz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</si>
  <si>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Танковая дивизия «Гольштейн»#gh_divisionholstein,gv_maus#3,gv_pzkpfwVpanther#3,gv_gwpanther#2,gv_jagdtiger#1,gv_gwtiger#1,uv_t92#1,gp_nachschubzugder9pd#2,up_telephonistsofexpeditionaryforces#2,gv_pzkpfw38(t)#3,sv_a32#3,sv_ob212#1,sv_kv5#1,gv_pzkpfw35(t)#3,gv_pzb2#3,uv_ramII#3,gv_marderII#2,gv_t25#3,sv_su18#1,gp_nachaichtrnbrigadeder1pd#2</t>
  </si>
  <si>
    <t>Танковая дивизия «Гольштейн»#gh_divisionholstein,sv_ob212#2,so_budbditelnym#3,gv_pzb2#3,sv_su18#3,uv_ramII#3,gv_t25#3,sv_ms1#3,gv_pzkpfwVpanther#2,sv_matilda4#3,up_telephonistsofexpeditionaryforces#2,sv_kv220#3,gv_maus#3,gv_pzkpfw35(t)#3,gv_marderII#1,gp_auskundschaftersderpdmuncheberg#3</t>
  </si>
  <si>
    <t>T92#uh_3airbornetankbattalion,so_budbditelnym#3,gv_pzb2#3,sv_su18#2,up_mortarsof17division#2,uv_ramII#3,gv_t25#2,sv_ms1#2,uv_t14#2,sv_matilda4#2,uv_t92#1,uv_t1lt#1,up_telephonistsofexpeditionaryforces#3,sp_voenniyecriminalisty#1,sv_kv220#3,uv_t2lt#2,uo_backthemwithmoremetal#3,gp_auskundschaftersderpdmuncheberg#3,uv_m7priest#2</t>
  </si>
  <si>
    <t>Arb#gh_divisionkurmark,gv_pzkpfwIIluchs#3,so_budbditelnym#3,sv_btsv#2,go_inderstaub#2,gp_nachschubzugder9pd#3,gv_jagdpziv#2,go_arbeitedufuerdensieg#3,go_winterhifswerk#3,go_deutchlandbefreiung#3,so_boltyunnahodkadlyashpiona#3,gp_bauzugderpdmuncheberg#2,gv_sturmpanzerII#2,go_kampfbiszumende#2,gv_lowe#1,gv_pzkpfw35(t)#2,gp_feldmedizinerder14pd#3,gv_pzb2#1</t>
  </si>
  <si>
    <t>Telephonists EF</t>
  </si>
  <si>
    <t>VD</t>
  </si>
  <si>
    <t>(df L) +1d</t>
  </si>
  <si>
    <t>Signalers CA</t>
  </si>
  <si>
    <t>Gunners NG</t>
  </si>
  <si>
    <t>Snipers 82</t>
  </si>
  <si>
    <t>V (D/A)</t>
  </si>
  <si>
    <t>Tn</t>
  </si>
  <si>
    <t>Техника</t>
  </si>
  <si>
    <t>Типы карт</t>
  </si>
  <si>
    <t>Характеристики</t>
  </si>
  <si>
    <t>Абилки</t>
  </si>
  <si>
    <t>Фазы</t>
  </si>
  <si>
    <t>Разное</t>
  </si>
  <si>
    <t>(at Tn) +8d</t>
  </si>
  <si>
    <t>resp middle</t>
  </si>
  <si>
    <t>resp</t>
  </si>
  <si>
    <t>(resp xm) xdL</t>
  </si>
  <si>
    <t>(resp L) 2dH</t>
  </si>
  <si>
    <t>(resp) move</t>
  </si>
  <si>
    <t>501 AD</t>
  </si>
  <si>
    <t>(xm) +xd</t>
  </si>
  <si>
    <t>Mortars 17</t>
  </si>
  <si>
    <t>e</t>
  </si>
  <si>
    <t>вражеский</t>
  </si>
  <si>
    <t>Volunteers 29</t>
  </si>
  <si>
    <t>VA</t>
  </si>
  <si>
    <t>Обеспечение 8А</t>
  </si>
  <si>
    <t>Артиллеристы 17</t>
  </si>
  <si>
    <t>Криминалисты</t>
  </si>
  <si>
    <t>Разведчики БФ</t>
  </si>
  <si>
    <t>Сапёры УФ</t>
  </si>
  <si>
    <t>Пограничники</t>
  </si>
  <si>
    <t>Телефонисты 30</t>
  </si>
  <si>
    <t>взвод (Защ/Атак)</t>
  </si>
  <si>
    <t>t (b/e)</t>
  </si>
  <si>
    <t>ход (начало/конец)</t>
  </si>
  <si>
    <t>(tb) k, 6d</t>
  </si>
  <si>
    <t>th</t>
  </si>
  <si>
    <t>this</t>
  </si>
  <si>
    <t>(g) +1C if th</t>
  </si>
  <si>
    <t>dc</t>
  </si>
  <si>
    <t>deck</t>
  </si>
  <si>
    <t>(g) th to dc</t>
  </si>
  <si>
    <t>(te) +2H</t>
  </si>
  <si>
    <t>(tb "no free cell") win!</t>
  </si>
  <si>
    <t>(tb) +1h</t>
  </si>
  <si>
    <t>(te) +2h</t>
  </si>
  <si>
    <t>(tb) -2g</t>
  </si>
  <si>
    <t>(te) +1h</t>
  </si>
  <si>
    <t>all</t>
  </si>
  <si>
    <t>(-1h) v</t>
  </si>
  <si>
    <t>(-1h) -1V</t>
  </si>
  <si>
    <t>(-1H) move</t>
  </si>
  <si>
    <t>(-1H) +1eg</t>
  </si>
  <si>
    <t>(a) -2V</t>
  </si>
  <si>
    <t>*d</t>
  </si>
  <si>
    <t>(Pt) *1d</t>
  </si>
  <si>
    <t>*v</t>
  </si>
  <si>
    <t>*1m</t>
  </si>
  <si>
    <t>(resp) *vL</t>
  </si>
  <si>
    <t>(at H) *-1V</t>
  </si>
  <si>
    <t>(-1h) *1d</t>
  </si>
  <si>
    <t>*-1c</t>
  </si>
  <si>
    <t>*+1m</t>
  </si>
  <si>
    <t>Nachricht 1 PD</t>
  </si>
  <si>
    <t>Fernschreiber K</t>
  </si>
  <si>
    <t>(df A) -1d to H</t>
  </si>
  <si>
    <t>Ingenieure Shc</t>
  </si>
  <si>
    <t>(+1g) +1m</t>
  </si>
  <si>
    <t>Panzerfunker H</t>
  </si>
  <si>
    <t>+1dH</t>
  </si>
  <si>
    <t>Feldmediziner</t>
  </si>
  <si>
    <t>(tb) k, 8H</t>
  </si>
  <si>
    <t>Bauzug M</t>
  </si>
  <si>
    <t>+5h</t>
  </si>
  <si>
    <t>(df) +1H</t>
  </si>
  <si>
    <t>Nachschubzug</t>
  </si>
  <si>
    <t>Нации</t>
  </si>
  <si>
    <t>Советы</t>
  </si>
  <si>
    <t>Янки</t>
  </si>
  <si>
    <t>Фрицы</t>
  </si>
  <si>
    <t>Rus</t>
  </si>
  <si>
    <t>Usa</t>
  </si>
  <si>
    <t>*B Nazi</t>
  </si>
  <si>
    <t>Стрелки Юж.Ф</t>
  </si>
  <si>
    <t>Auskundschafter</t>
  </si>
  <si>
    <t>Crush</t>
  </si>
  <si>
    <t>St</t>
  </si>
  <si>
    <t>(df LSt) -1d</t>
  </si>
  <si>
    <t>(S) -2c</t>
  </si>
  <si>
    <t>Der Wehrmacht</t>
  </si>
  <si>
    <t>2d,+2H</t>
  </si>
  <si>
    <t>-5H</t>
  </si>
  <si>
    <t>Kamerad</t>
  </si>
  <si>
    <t>Так будет</t>
  </si>
  <si>
    <t>Удар Молота</t>
  </si>
  <si>
    <t>Бдительным</t>
  </si>
  <si>
    <t>1d</t>
  </si>
  <si>
    <t>2d</t>
  </si>
  <si>
    <t>+2H, +1C</t>
  </si>
  <si>
    <t>Work or Perish</t>
  </si>
  <si>
    <t>Avenge</t>
  </si>
  <si>
    <t>An Appeal</t>
  </si>
  <si>
    <t>Let `em All</t>
  </si>
  <si>
    <t>The Key</t>
  </si>
  <si>
    <t>To Victory!</t>
  </si>
  <si>
    <t>The Waves</t>
  </si>
  <si>
    <t>Freedom</t>
  </si>
  <si>
    <t>Talked!</t>
  </si>
  <si>
    <t>Counting on You</t>
  </si>
  <si>
    <t>Back Them Up</t>
  </si>
  <si>
    <t>Your Friend</t>
  </si>
  <si>
    <t>+5H</t>
  </si>
  <si>
    <t>u</t>
  </si>
  <si>
    <t>unsummon</t>
  </si>
  <si>
    <t>u row</t>
  </si>
  <si>
    <t>+3d,+3h</t>
  </si>
  <si>
    <t>+3H</t>
  </si>
  <si>
    <t>(Usa) *=4d</t>
  </si>
  <si>
    <t>r</t>
  </si>
  <si>
    <t>броня</t>
  </si>
  <si>
    <t xml:space="preserve">(Usa, xeg) x/2HV </t>
  </si>
  <si>
    <t>(Usa, xm) +xeg</t>
  </si>
  <si>
    <t>(xm) +xHV</t>
  </si>
  <si>
    <t>(xm) +x/4C</t>
  </si>
  <si>
    <t>3d</t>
  </si>
  <si>
    <t>+1C[A/Pt]</t>
  </si>
  <si>
    <t>+4H</t>
  </si>
  <si>
    <t>-3em</t>
  </si>
  <si>
    <t>*2d</t>
  </si>
  <si>
    <t>*2V</t>
  </si>
  <si>
    <t>+1at</t>
  </si>
  <si>
    <t>Отстоим!</t>
  </si>
  <si>
    <t>Болтун</t>
  </si>
  <si>
    <t>На Запад!</t>
  </si>
  <si>
    <t>Взять цель!</t>
  </si>
  <si>
    <t>Будь героем!</t>
  </si>
  <si>
    <t>Бей насмерть!</t>
  </si>
  <si>
    <t>Болтать</t>
  </si>
  <si>
    <t>Слава героям</t>
  </si>
  <si>
    <t>Родина-мать</t>
  </si>
  <si>
    <t>Наше дело</t>
  </si>
  <si>
    <t>Наши силы</t>
  </si>
  <si>
    <t>Заменим!</t>
  </si>
  <si>
    <t>*-1dA</t>
  </si>
  <si>
    <t>*-1Hd</t>
  </si>
  <si>
    <t>-cat</t>
  </si>
  <si>
    <t>(-1H) -cat</t>
  </si>
  <si>
    <t>(xd) -xd</t>
  </si>
  <si>
    <t>6dT</t>
  </si>
  <si>
    <t>+2H</t>
  </si>
  <si>
    <t>10dV</t>
  </si>
  <si>
    <t>-D</t>
  </si>
  <si>
    <t>-3H</t>
  </si>
  <si>
    <t>(+5eH) 8d Tn</t>
  </si>
  <si>
    <t>Пожар</t>
  </si>
  <si>
    <t>F</t>
  </si>
  <si>
    <t>(Rus) +2CV</t>
  </si>
  <si>
    <t>(Rus) *DPM</t>
  </si>
  <si>
    <t>DPM</t>
  </si>
  <si>
    <t>(Rus) +1C, -10g</t>
  </si>
  <si>
    <t>+2C</t>
  </si>
  <si>
    <t>(xeg) +xH</t>
  </si>
  <si>
    <t>Der Sieg</t>
  </si>
  <si>
    <t>Infanterie</t>
  </si>
  <si>
    <t>Volkssturm</t>
  </si>
  <si>
    <t>Der Stirn</t>
  </si>
  <si>
    <t>Winterhilfswerk</t>
  </si>
  <si>
    <t>Flammenwerfer</t>
  </si>
  <si>
    <t>In den Staub</t>
  </si>
  <si>
    <t>Arbeite</t>
  </si>
  <si>
    <t>Befreiung</t>
  </si>
  <si>
    <t>Kauft</t>
  </si>
  <si>
    <t>Политрук</t>
  </si>
  <si>
    <t>Vaterland</t>
  </si>
  <si>
    <t>-2H</t>
  </si>
  <si>
    <t>*+1Hd</t>
  </si>
  <si>
    <t>dis DM</t>
  </si>
  <si>
    <t>(xHd) xd Tn</t>
  </si>
  <si>
    <t>+[4]CV</t>
  </si>
  <si>
    <t>-1em</t>
  </si>
  <si>
    <t>(-1m) 10d</t>
  </si>
  <si>
    <t>Ag, +5H</t>
  </si>
  <si>
    <t>eg = g</t>
  </si>
  <si>
    <t>(Nazi) dis at AH, +1C</t>
  </si>
  <si>
    <t>-3g</t>
  </si>
  <si>
    <t>(Nazi) +2m</t>
  </si>
  <si>
    <t>(Nazi) *+4hH, +1C</t>
  </si>
  <si>
    <t>3d Tn</t>
  </si>
  <si>
    <t>(A) -1eC</t>
  </si>
  <si>
    <t>-1eC</t>
  </si>
  <si>
    <t>*-1C</t>
  </si>
  <si>
    <t>41-я танковая дивизия#sh_41ayatankovayadivisiya,go_tagderwehrmacht#1,so_budbditelnym#3,sp_vzvodtilovovoobespecheniya8armii#3,gv_pzb2#3,so_udarmolota#3,sv_su18#3,uv_ramII#2,gv_t25#1,so_otstoimmoskvu#3,sv_ob704#3,sv_su26#3,sv_matilda4#2,up_telephonistsofexpeditionaryforces#3,sp_strelkiuzhnogofronta#1,uv_t2lt#3,gp_auskundschaftersderpdmuncheberg#3</t>
  </si>
  <si>
    <t>eC</t>
  </si>
  <si>
    <t>Mark</t>
  </si>
  <si>
    <t>?</t>
  </si>
  <si>
    <t>dis</t>
  </si>
  <si>
    <t>exclude in same cell</t>
  </si>
  <si>
    <t>LLLLD</t>
  </si>
  <si>
    <t>fdf</t>
  </si>
  <si>
    <t>Arb#gh_divisionkurmark,gv_pzkpfwIIluchs#3,so_budbditelnym#3,so_udarmolota#2,gv_pzb2#1,sv_btsv#2,go_inderstaub#2,gp_nachschubzugder9pd#3,gv_jagdpziv#2,go_arbeitedufuerdensieg#3,go_winterhifswerk#3,go_deutchlandbefreiung#3,gp_bauzugderpdmuncheberg#2,so_boltyunnahodkadlyashpiona#2,gv_sturmpanzerII#2,gv_lowe#1,gv_maus#1,gv_pzkpfw35(t)#2,gp_feldmedizinerder14pd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</si>
</sst>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theme="5" tint="-0.249977111117893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7030A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49" fontId="0" fillId="0" borderId="0" xfId="0" applyNumberFormat="1"/>
    <xf numFmtId="0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NumberFormat="1" applyFont="1"/>
    <xf numFmtId="49" fontId="3" fillId="3" borderId="0" xfId="0" applyNumberFormat="1" applyFont="1" applyFill="1" applyBorder="1"/>
    <xf numFmtId="49" fontId="0" fillId="2" borderId="0" xfId="0" applyNumberFormat="1" applyFill="1"/>
    <xf numFmtId="49" fontId="0" fillId="4" borderId="0" xfId="0" applyNumberFormat="1" applyFill="1"/>
    <xf numFmtId="0" fontId="1" fillId="0" borderId="0" xfId="0" applyFont="1" applyFill="1"/>
    <xf numFmtId="0" fontId="2" fillId="0" borderId="0" xfId="0" applyFont="1" applyFill="1"/>
    <xf numFmtId="0" fontId="7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7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0" fillId="5" borderId="0" xfId="0" applyFont="1" applyFill="1"/>
    <xf numFmtId="0" fontId="8" fillId="0" borderId="0" xfId="0" applyNumberFormat="1" applyFont="1" applyFill="1"/>
    <xf numFmtId="49" fontId="0" fillId="0" borderId="3" xfId="0" applyNumberFormat="1" applyFill="1" applyBorder="1"/>
    <xf numFmtId="49" fontId="1" fillId="0" borderId="1" xfId="0" applyNumberFormat="1" applyFont="1" applyFill="1" applyBorder="1"/>
    <xf numFmtId="49" fontId="9" fillId="0" borderId="0" xfId="0" applyNumberFormat="1" applyFont="1" applyFill="1"/>
    <xf numFmtId="49" fontId="0" fillId="0" borderId="1" xfId="0" applyNumberFormat="1" applyFill="1" applyBorder="1"/>
    <xf numFmtId="49" fontId="0" fillId="0" borderId="0" xfId="0" applyNumberFormat="1" applyFill="1" applyBorder="1"/>
    <xf numFmtId="49" fontId="0" fillId="0" borderId="2" xfId="0" applyNumberFormat="1" applyFill="1" applyBorder="1"/>
    <xf numFmtId="0" fontId="9" fillId="0" borderId="0" xfId="0" applyNumberFormat="1" applyFont="1" applyFill="1"/>
    <xf numFmtId="49" fontId="0" fillId="0" borderId="0" xfId="0" applyNumberFormat="1" applyFill="1"/>
    <xf numFmtId="49" fontId="3" fillId="0" borderId="0" xfId="0" applyNumberFormat="1" applyFont="1" applyFill="1" applyBorder="1"/>
    <xf numFmtId="0" fontId="0" fillId="0" borderId="0" xfId="0" applyNumberFormat="1" applyFill="1"/>
    <xf numFmtId="0" fontId="0" fillId="0" borderId="0" xfId="0" applyFill="1"/>
    <xf numFmtId="20" fontId="0" fillId="0" borderId="0" xfId="0" applyNumberFormat="1" applyFill="1"/>
    <xf numFmtId="0" fontId="5" fillId="0" borderId="0" xfId="0" applyFont="1" applyFill="1"/>
    <xf numFmtId="0" fontId="6" fillId="0" borderId="0" xfId="0" applyFont="1" applyFill="1"/>
    <xf numFmtId="49" fontId="7" fillId="0" borderId="0" xfId="0" applyNumberFormat="1" applyFont="1" applyFill="1"/>
    <xf numFmtId="0" fontId="7" fillId="0" borderId="0" xfId="0" applyNumberFormat="1" applyFont="1" applyFill="1"/>
    <xf numFmtId="49" fontId="11" fillId="0" borderId="0" xfId="0" applyNumberFormat="1" applyFont="1" applyFill="1"/>
    <xf numFmtId="49" fontId="1" fillId="0" borderId="0" xfId="0" applyNumberFormat="1" applyFont="1" applyFill="1"/>
    <xf numFmtId="49" fontId="10" fillId="0" borderId="0" xfId="0" applyNumberFormat="1" applyFont="1" applyFill="1"/>
    <xf numFmtId="49" fontId="3" fillId="3" borderId="3" xfId="0" applyNumberFormat="1" applyFont="1" applyFill="1" applyBorder="1"/>
    <xf numFmtId="49" fontId="9" fillId="0" borderId="0" xfId="0" applyNumberFormat="1" applyFont="1" applyFill="1" applyBorder="1"/>
    <xf numFmtId="49" fontId="2" fillId="0" borderId="2" xfId="0" applyNumberFormat="1" applyFont="1" applyFill="1" applyBorder="1"/>
    <xf numFmtId="49" fontId="3" fillId="3" borderId="1" xfId="0" applyNumberFormat="1" applyFont="1" applyFill="1" applyBorder="1"/>
    <xf numFmtId="49" fontId="3" fillId="3" borderId="2" xfId="0" applyNumberFormat="1" applyFont="1" applyFill="1" applyBorder="1"/>
    <xf numFmtId="49" fontId="3" fillId="3" borderId="0" xfId="0" applyNumberFormat="1" applyFont="1" applyFill="1" applyBorder="1" applyAlignment="1">
      <alignment vertical="center"/>
    </xf>
    <xf numFmtId="0" fontId="12" fillId="0" borderId="0" xfId="0" applyFont="1" applyFill="1"/>
    <xf numFmtId="49" fontId="12" fillId="0" borderId="0" xfId="0" applyNumberFormat="1" applyFont="1" applyFill="1"/>
    <xf numFmtId="0" fontId="12" fillId="5" borderId="0" xfId="0" applyFont="1" applyFill="1"/>
    <xf numFmtId="49" fontId="2" fillId="0" borderId="1" xfId="0" applyNumberFormat="1" applyFont="1" applyFill="1" applyBorder="1"/>
    <xf numFmtId="49" fontId="1" fillId="0" borderId="0" xfId="0" applyNumberFormat="1" applyFont="1" applyFill="1" applyBorder="1"/>
    <xf numFmtId="0" fontId="15" fillId="0" borderId="0" xfId="0" applyFont="1" applyFill="1"/>
    <xf numFmtId="49" fontId="15" fillId="0" borderId="0" xfId="0" applyNumberFormat="1" applyFont="1" applyFill="1"/>
    <xf numFmtId="0" fontId="15" fillId="5" borderId="0" xfId="0" applyFont="1" applyFill="1"/>
    <xf numFmtId="0" fontId="14" fillId="0" borderId="0" xfId="0" applyFont="1"/>
    <xf numFmtId="0" fontId="14" fillId="6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0</xdr:rowOff>
        </xdr:from>
        <xdr:to>
          <xdr:col>24</xdr:col>
          <xdr:colOff>590550</xdr:colOff>
          <xdr:row>1</xdr:row>
          <xdr:rowOff>57150</xdr:rowOff>
        </xdr:to>
        <xdr:grpSp>
          <xdr:nvGrpSpPr>
            <xdr:cNvPr id="4" name="Группа 3"/>
            <xdr:cNvGrpSpPr/>
          </xdr:nvGrpSpPr>
          <xdr:grpSpPr>
            <a:xfrm>
              <a:off x="10858500" y="0"/>
              <a:ext cx="581025" cy="247650"/>
              <a:chOff x="10858500" y="0"/>
              <a:chExt cx="581025" cy="247650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08585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CommandButton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115377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0</xdr:rowOff>
        </xdr:from>
        <xdr:to>
          <xdr:col>17</xdr:col>
          <xdr:colOff>600075</xdr:colOff>
          <xdr:row>1</xdr:row>
          <xdr:rowOff>57150</xdr:rowOff>
        </xdr:to>
        <xdr:grpSp>
          <xdr:nvGrpSpPr>
            <xdr:cNvPr id="2" name="Группа 1"/>
            <xdr:cNvGrpSpPr/>
          </xdr:nvGrpSpPr>
          <xdr:grpSpPr>
            <a:xfrm>
              <a:off x="6524625" y="0"/>
              <a:ext cx="590550" cy="247650"/>
              <a:chOff x="6524625" y="0"/>
              <a:chExt cx="590550" cy="247650"/>
            </a:xfrm>
          </xdr:grpSpPr>
          <xdr:sp macro="" textlink="">
            <xdr:nvSpPr>
              <xdr:cNvPr id="1027" name="CommandButton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652462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CommandButton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682942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21</xdr:col>
          <xdr:colOff>590550</xdr:colOff>
          <xdr:row>1</xdr:row>
          <xdr:rowOff>57150</xdr:rowOff>
        </xdr:to>
        <xdr:grpSp>
          <xdr:nvGrpSpPr>
            <xdr:cNvPr id="3" name="Группа 2"/>
            <xdr:cNvGrpSpPr/>
          </xdr:nvGrpSpPr>
          <xdr:grpSpPr>
            <a:xfrm>
              <a:off x="8991600" y="0"/>
              <a:ext cx="590550" cy="247650"/>
              <a:chOff x="8991600" y="0"/>
              <a:chExt cx="590550" cy="24765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89916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928687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161925</xdr:colOff>
          <xdr:row>0</xdr:row>
          <xdr:rowOff>28575</xdr:rowOff>
        </xdr:from>
        <xdr:to>
          <xdr:col>49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0</xdr:rowOff>
        </xdr:from>
        <xdr:to>
          <xdr:col>24</xdr:col>
          <xdr:colOff>590550</xdr:colOff>
          <xdr:row>1</xdr:row>
          <xdr:rowOff>57150</xdr:rowOff>
        </xdr:to>
        <xdr:grpSp>
          <xdr:nvGrpSpPr>
            <xdr:cNvPr id="2" name="Группа 1"/>
            <xdr:cNvGrpSpPr/>
          </xdr:nvGrpSpPr>
          <xdr:grpSpPr>
            <a:xfrm>
              <a:off x="10858500" y="0"/>
              <a:ext cx="581025" cy="247650"/>
              <a:chOff x="10858500" y="0"/>
              <a:chExt cx="581025" cy="247650"/>
            </a:xfrm>
          </xdr:grpSpPr>
          <xdr:sp macro="" textlink="">
            <xdr:nvSpPr>
              <xdr:cNvPr id="3073" name="CommandButton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108585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4" name="CommandButton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1115377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0</xdr:rowOff>
        </xdr:from>
        <xdr:to>
          <xdr:col>17</xdr:col>
          <xdr:colOff>600075</xdr:colOff>
          <xdr:row>1</xdr:row>
          <xdr:rowOff>57150</xdr:rowOff>
        </xdr:to>
        <xdr:grpSp>
          <xdr:nvGrpSpPr>
            <xdr:cNvPr id="5" name="Группа 4"/>
            <xdr:cNvGrpSpPr/>
          </xdr:nvGrpSpPr>
          <xdr:grpSpPr>
            <a:xfrm>
              <a:off x="6524625" y="0"/>
              <a:ext cx="590550" cy="247650"/>
              <a:chOff x="6524625" y="0"/>
              <a:chExt cx="590550" cy="247650"/>
            </a:xfrm>
          </xdr:grpSpPr>
          <xdr:sp macro="" textlink="">
            <xdr:nvSpPr>
              <xdr:cNvPr id="3075" name="CommandButton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52462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6" name="CommandButton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82942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21</xdr:col>
          <xdr:colOff>590550</xdr:colOff>
          <xdr:row>1</xdr:row>
          <xdr:rowOff>57150</xdr:rowOff>
        </xdr:to>
        <xdr:grpSp>
          <xdr:nvGrpSpPr>
            <xdr:cNvPr id="8" name="Группа 7"/>
            <xdr:cNvGrpSpPr/>
          </xdr:nvGrpSpPr>
          <xdr:grpSpPr>
            <a:xfrm>
              <a:off x="8991600" y="0"/>
              <a:ext cx="590550" cy="247650"/>
              <a:chOff x="8991600" y="0"/>
              <a:chExt cx="590550" cy="247650"/>
            </a:xfrm>
          </xdr:grpSpPr>
          <xdr:sp macro="" textlink="">
            <xdr:nvSpPr>
              <xdr:cNvPr id="3077" name="CommandButton5" hidden="1">
                <a:extLst>
                  <a:ext uri="{63B3BB69-23CF-44E3-9099-C40C66FF867C}">
                    <a14:compatExt spid="_x0000_s3077"/>
                  </a:ext>
                </a:extLst>
              </xdr:cNvPr>
              <xdr:cNvSpPr/>
            </xdr:nvSpPr>
            <xdr:spPr bwMode="auto">
              <a:xfrm>
                <a:off x="89916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8" name="CommandButton6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 bwMode="auto">
              <a:xfrm>
                <a:off x="928687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/>
  <dimension ref="A2:AU185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Z3" sqref="Z3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20" customWidth="1"/>
    <col min="18" max="18" width="9.28515625" style="21" customWidth="1"/>
    <col min="19" max="19" width="9.28515625" style="22" customWidth="1"/>
    <col min="20" max="20" width="9.28515625" style="29" customWidth="1"/>
    <col min="21" max="21" width="9.28515625" style="42" customWidth="1"/>
    <col min="22" max="22" width="9.28515625" style="24" customWidth="1"/>
    <col min="23" max="23" width="9.28515625" style="25" customWidth="1"/>
    <col min="24" max="24" width="9.28515625" style="26" customWidth="1"/>
    <col min="25" max="25" width="9.140625" style="28"/>
    <col min="26" max="26" width="9.140625" style="30"/>
    <col min="27" max="27" width="9.140625" style="28"/>
    <col min="28" max="28" width="9.140625" style="25"/>
    <col min="29" max="47" width="9.140625" style="28"/>
    <col min="48" max="16384" width="9.140625" style="1"/>
  </cols>
  <sheetData>
    <row r="2" spans="1:36" x14ac:dyDescent="0.25">
      <c r="T2" s="41" t="s">
        <v>472</v>
      </c>
      <c r="Y2" s="23" t="s">
        <v>472</v>
      </c>
      <c r="Z2" s="27" t="s">
        <v>737</v>
      </c>
    </row>
    <row r="3" spans="1:36" x14ac:dyDescent="0.25">
      <c r="R3" s="40"/>
      <c r="S3" s="43"/>
      <c r="T3" s="8" t="s">
        <v>527</v>
      </c>
      <c r="U3" s="44" t="s">
        <v>527</v>
      </c>
      <c r="V3" s="43" t="s">
        <v>527</v>
      </c>
      <c r="W3" s="45"/>
      <c r="X3" s="44" t="s">
        <v>527</v>
      </c>
      <c r="Y3" s="10" t="s">
        <v>43</v>
      </c>
      <c r="Z3" s="9" t="s">
        <v>736</v>
      </c>
    </row>
    <row r="4" spans="1:36" x14ac:dyDescent="0.25">
      <c r="A4" s="1" t="s">
        <v>734</v>
      </c>
      <c r="B4" s="1" t="s">
        <v>175</v>
      </c>
      <c r="C4" s="1" t="s">
        <v>174</v>
      </c>
      <c r="D4" s="2" t="s">
        <v>176</v>
      </c>
      <c r="E4" s="1" t="s">
        <v>177</v>
      </c>
      <c r="F4" s="2" t="s">
        <v>178</v>
      </c>
      <c r="G4" s="2" t="s">
        <v>179</v>
      </c>
      <c r="H4" s="2" t="s">
        <v>180</v>
      </c>
      <c r="I4" s="2" t="s">
        <v>181</v>
      </c>
      <c r="J4" s="7" t="s">
        <v>324</v>
      </c>
      <c r="K4" s="7" t="s">
        <v>482</v>
      </c>
      <c r="L4" s="20" t="s">
        <v>479</v>
      </c>
      <c r="M4" s="20" t="s">
        <v>480</v>
      </c>
      <c r="N4" s="20" t="s">
        <v>481</v>
      </c>
      <c r="O4" s="20" t="s">
        <v>411</v>
      </c>
      <c r="P4" s="20" t="s">
        <v>483</v>
      </c>
      <c r="Q4" s="20" t="s">
        <v>519</v>
      </c>
      <c r="R4" s="21" t="s">
        <v>182</v>
      </c>
      <c r="S4" s="22" t="s">
        <v>621</v>
      </c>
      <c r="T4" s="29" t="s">
        <v>622</v>
      </c>
      <c r="U4" s="42" t="s">
        <v>167</v>
      </c>
      <c r="V4" s="24" t="s">
        <v>21</v>
      </c>
      <c r="W4" s="25" t="s">
        <v>22</v>
      </c>
      <c r="X4" s="26" t="s">
        <v>23</v>
      </c>
    </row>
    <row r="5" spans="1:36" x14ac:dyDescent="0.25">
      <c r="B5" s="1" t="s">
        <v>275</v>
      </c>
      <c r="C5" s="1" t="s">
        <v>622</v>
      </c>
      <c r="D5" s="2">
        <v>10</v>
      </c>
      <c r="E5" s="2" t="s">
        <v>18</v>
      </c>
      <c r="F5" s="2">
        <v>12</v>
      </c>
      <c r="G5" s="2">
        <v>5</v>
      </c>
      <c r="H5" s="2">
        <v>16</v>
      </c>
      <c r="I5" s="2">
        <v>2</v>
      </c>
      <c r="J5" s="7">
        <f t="shared" ref="J5" si="0">(G5+H5+I5)/F5</f>
        <v>1.9166666666666667</v>
      </c>
      <c r="K5" s="7">
        <f t="shared" ref="K5" si="1">G5/F5</f>
        <v>0.41666666666666669</v>
      </c>
      <c r="L5" s="20">
        <f t="shared" ref="L5" si="2">H5/F5</f>
        <v>1.3333333333333333</v>
      </c>
      <c r="M5" s="20">
        <f t="shared" ref="M5" si="3">I5/F5</f>
        <v>0.16666666666666666</v>
      </c>
      <c r="N5" s="20">
        <f t="shared" ref="N5" si="4">(G5+I5)/F5</f>
        <v>0.58333333333333337</v>
      </c>
      <c r="O5" s="20">
        <f t="shared" ref="O5" si="5">G5+I5</f>
        <v>7</v>
      </c>
      <c r="P5" s="20">
        <f t="shared" ref="P5" si="6">O5/D5</f>
        <v>0.7</v>
      </c>
      <c r="Q5" s="20">
        <f t="shared" ref="Q5" si="7">K5+L5</f>
        <v>1.75</v>
      </c>
      <c r="R5" s="21" t="s">
        <v>7</v>
      </c>
      <c r="T5" s="29" t="s">
        <v>276</v>
      </c>
      <c r="X5" s="26" t="s">
        <v>554</v>
      </c>
      <c r="Y5" s="31"/>
      <c r="AA5" s="30"/>
      <c r="AJ5" s="28" t="s">
        <v>390</v>
      </c>
    </row>
    <row r="6" spans="1:36" x14ac:dyDescent="0.25">
      <c r="B6" s="1" t="s">
        <v>253</v>
      </c>
      <c r="C6" s="1" t="s">
        <v>167</v>
      </c>
      <c r="D6" s="2">
        <v>3</v>
      </c>
      <c r="E6" s="2" t="s">
        <v>16</v>
      </c>
      <c r="F6" s="2">
        <v>1</v>
      </c>
      <c r="G6" s="2">
        <v>1</v>
      </c>
      <c r="H6" s="2">
        <v>3</v>
      </c>
      <c r="I6" s="2">
        <v>1</v>
      </c>
      <c r="J6" s="7">
        <f t="shared" ref="J6:J29" si="8">(G6+H6+I6)/F6</f>
        <v>5</v>
      </c>
      <c r="K6" s="7">
        <f t="shared" ref="K6:K29" si="9">G6/F6</f>
        <v>1</v>
      </c>
      <c r="L6" s="20">
        <f t="shared" ref="L6:L29" si="10">H6/F6</f>
        <v>3</v>
      </c>
      <c r="M6" s="20">
        <f t="shared" ref="M6:M29" si="11">I6/F6</f>
        <v>1</v>
      </c>
      <c r="N6" s="20">
        <f t="shared" ref="N6:N29" si="12">(G6+I6)/F6</f>
        <v>2</v>
      </c>
      <c r="O6" s="20">
        <f t="shared" ref="O6:O29" si="13">G6+I6</f>
        <v>2</v>
      </c>
      <c r="P6" s="20">
        <f t="shared" ref="P6:P29" si="14">O6/D6</f>
        <v>0.66666666666666663</v>
      </c>
      <c r="Q6" s="20">
        <f t="shared" ref="Q6:Q29" si="15">K6+L6</f>
        <v>4</v>
      </c>
      <c r="V6" s="24" t="s">
        <v>254</v>
      </c>
      <c r="Y6" s="31"/>
      <c r="AB6" s="25" t="s">
        <v>548</v>
      </c>
      <c r="AH6" s="28" t="s">
        <v>372</v>
      </c>
      <c r="AI6" s="28" t="s">
        <v>389</v>
      </c>
    </row>
    <row r="7" spans="1:36" x14ac:dyDescent="0.25">
      <c r="B7" s="1" t="s">
        <v>256</v>
      </c>
      <c r="C7" s="1" t="s">
        <v>622</v>
      </c>
      <c r="D7" s="2">
        <v>2</v>
      </c>
      <c r="E7" s="2" t="s">
        <v>16</v>
      </c>
      <c r="F7" s="2">
        <v>1</v>
      </c>
      <c r="G7" s="2">
        <v>1</v>
      </c>
      <c r="H7" s="2">
        <v>3</v>
      </c>
      <c r="I7" s="2">
        <v>1</v>
      </c>
      <c r="J7" s="7">
        <f t="shared" si="8"/>
        <v>5</v>
      </c>
      <c r="K7" s="7">
        <f t="shared" si="9"/>
        <v>1</v>
      </c>
      <c r="L7" s="20">
        <f t="shared" si="10"/>
        <v>3</v>
      </c>
      <c r="M7" s="20">
        <f t="shared" si="11"/>
        <v>1</v>
      </c>
      <c r="N7" s="20">
        <f t="shared" si="12"/>
        <v>2</v>
      </c>
      <c r="O7" s="20">
        <f t="shared" si="13"/>
        <v>2</v>
      </c>
      <c r="P7" s="20">
        <f t="shared" si="14"/>
        <v>1</v>
      </c>
      <c r="Q7" s="20">
        <f t="shared" si="15"/>
        <v>4</v>
      </c>
      <c r="T7" s="29" t="s">
        <v>43</v>
      </c>
      <c r="Y7" s="31"/>
      <c r="AB7" s="25" t="s">
        <v>16</v>
      </c>
      <c r="AC7" s="28" t="s">
        <v>64</v>
      </c>
      <c r="AH7" s="28" t="s">
        <v>373</v>
      </c>
      <c r="AI7" s="28" t="s">
        <v>373</v>
      </c>
    </row>
    <row r="8" spans="1:36" x14ac:dyDescent="0.25">
      <c r="B8" s="1">
        <v>268</v>
      </c>
      <c r="C8" s="1" t="s">
        <v>621</v>
      </c>
      <c r="D8" s="2">
        <v>10</v>
      </c>
      <c r="E8" s="1" t="s">
        <v>59</v>
      </c>
      <c r="F8" s="2">
        <v>8</v>
      </c>
      <c r="G8" s="2">
        <v>3</v>
      </c>
      <c r="H8" s="2">
        <v>16</v>
      </c>
      <c r="I8" s="2">
        <v>1</v>
      </c>
      <c r="J8" s="7">
        <f t="shared" si="8"/>
        <v>2.5</v>
      </c>
      <c r="K8" s="7">
        <f t="shared" si="9"/>
        <v>0.375</v>
      </c>
      <c r="L8" s="20">
        <f t="shared" si="10"/>
        <v>2</v>
      </c>
      <c r="M8" s="20">
        <f t="shared" si="11"/>
        <v>0.125</v>
      </c>
      <c r="N8" s="20">
        <f t="shared" si="12"/>
        <v>0.5</v>
      </c>
      <c r="O8" s="20">
        <f t="shared" si="13"/>
        <v>4</v>
      </c>
      <c r="P8" s="20">
        <f t="shared" si="14"/>
        <v>0.4</v>
      </c>
      <c r="Q8" s="20">
        <f t="shared" si="15"/>
        <v>2.375</v>
      </c>
      <c r="S8" s="22" t="s">
        <v>48</v>
      </c>
      <c r="X8" s="26" t="s">
        <v>7</v>
      </c>
      <c r="Y8" s="31"/>
      <c r="AB8" s="25" t="s">
        <v>627</v>
      </c>
      <c r="AC8" s="28" t="s">
        <v>65</v>
      </c>
      <c r="AH8" s="28" t="s">
        <v>374</v>
      </c>
      <c r="AI8" s="28" t="s">
        <v>391</v>
      </c>
      <c r="AJ8" s="28" t="s">
        <v>392</v>
      </c>
    </row>
    <row r="9" spans="1:36" x14ac:dyDescent="0.25">
      <c r="B9" s="1" t="s">
        <v>8</v>
      </c>
      <c r="C9" s="1" t="s">
        <v>621</v>
      </c>
      <c r="D9" s="2">
        <v>5</v>
      </c>
      <c r="E9" s="2" t="s">
        <v>16</v>
      </c>
      <c r="F9" s="2">
        <v>4</v>
      </c>
      <c r="G9" s="2">
        <v>2</v>
      </c>
      <c r="H9" s="2">
        <v>5</v>
      </c>
      <c r="I9" s="2">
        <v>2</v>
      </c>
      <c r="J9" s="7">
        <f t="shared" si="8"/>
        <v>2.25</v>
      </c>
      <c r="K9" s="7">
        <f t="shared" si="9"/>
        <v>0.5</v>
      </c>
      <c r="L9" s="20">
        <f t="shared" si="10"/>
        <v>1.25</v>
      </c>
      <c r="M9" s="20">
        <f t="shared" si="11"/>
        <v>0.5</v>
      </c>
      <c r="N9" s="20">
        <f t="shared" si="12"/>
        <v>1</v>
      </c>
      <c r="O9" s="20">
        <f t="shared" si="13"/>
        <v>4</v>
      </c>
      <c r="P9" s="20">
        <f t="shared" si="14"/>
        <v>0.8</v>
      </c>
      <c r="Q9" s="20">
        <f t="shared" si="15"/>
        <v>1.75</v>
      </c>
      <c r="S9" s="22" t="s">
        <v>56</v>
      </c>
      <c r="Y9" s="31"/>
      <c r="AB9" s="25" t="s">
        <v>18</v>
      </c>
      <c r="AC9" s="28" t="s">
        <v>66</v>
      </c>
      <c r="AH9" s="28" t="s">
        <v>375</v>
      </c>
      <c r="AI9" s="28" t="s">
        <v>388</v>
      </c>
      <c r="AJ9" s="28" t="s">
        <v>393</v>
      </c>
    </row>
    <row r="10" spans="1:36" x14ac:dyDescent="0.25">
      <c r="B10" s="1" t="s">
        <v>250</v>
      </c>
      <c r="C10" s="1" t="s">
        <v>167</v>
      </c>
      <c r="D10" s="2">
        <v>3</v>
      </c>
      <c r="E10" s="2" t="s">
        <v>627</v>
      </c>
      <c r="F10" s="2">
        <v>3</v>
      </c>
      <c r="G10" s="2">
        <v>2</v>
      </c>
      <c r="H10" s="2">
        <v>6</v>
      </c>
      <c r="I10" s="2">
        <v>1</v>
      </c>
      <c r="J10" s="7">
        <f t="shared" si="8"/>
        <v>3</v>
      </c>
      <c r="K10" s="7">
        <f t="shared" si="9"/>
        <v>0.66666666666666663</v>
      </c>
      <c r="L10" s="20">
        <f t="shared" si="10"/>
        <v>2</v>
      </c>
      <c r="M10" s="20">
        <f t="shared" si="11"/>
        <v>0.33333333333333331</v>
      </c>
      <c r="N10" s="20">
        <f t="shared" si="12"/>
        <v>1</v>
      </c>
      <c r="O10" s="20">
        <f t="shared" si="13"/>
        <v>3</v>
      </c>
      <c r="P10" s="20">
        <f t="shared" si="14"/>
        <v>1</v>
      </c>
      <c r="Q10" s="20">
        <f t="shared" si="15"/>
        <v>2.6666666666666665</v>
      </c>
      <c r="V10" s="49" t="s">
        <v>582</v>
      </c>
      <c r="W10" s="25" t="s">
        <v>41</v>
      </c>
      <c r="Y10" s="31"/>
      <c r="AB10" s="25" t="s">
        <v>59</v>
      </c>
      <c r="AC10" s="28" t="s">
        <v>67</v>
      </c>
      <c r="AH10" s="28" t="s">
        <v>376</v>
      </c>
      <c r="AI10" s="28" t="s">
        <v>387</v>
      </c>
      <c r="AJ10" s="28" t="s">
        <v>394</v>
      </c>
    </row>
    <row r="11" spans="1:36" x14ac:dyDescent="0.25">
      <c r="B11" s="1" t="s">
        <v>186</v>
      </c>
      <c r="C11" s="1" t="s">
        <v>167</v>
      </c>
      <c r="D11" s="2">
        <v>4</v>
      </c>
      <c r="E11" s="2" t="s">
        <v>16</v>
      </c>
      <c r="F11" s="2">
        <v>2</v>
      </c>
      <c r="G11" s="2">
        <v>1</v>
      </c>
      <c r="H11" s="2">
        <v>4</v>
      </c>
      <c r="I11" s="2">
        <v>1</v>
      </c>
      <c r="J11" s="7">
        <f t="shared" si="8"/>
        <v>3</v>
      </c>
      <c r="K11" s="7">
        <f t="shared" si="9"/>
        <v>0.5</v>
      </c>
      <c r="L11" s="20">
        <f t="shared" si="10"/>
        <v>2</v>
      </c>
      <c r="M11" s="20">
        <f t="shared" si="11"/>
        <v>0.5</v>
      </c>
      <c r="N11" s="20">
        <f t="shared" si="12"/>
        <v>1</v>
      </c>
      <c r="O11" s="20">
        <f t="shared" si="13"/>
        <v>2</v>
      </c>
      <c r="P11" s="20">
        <f t="shared" si="14"/>
        <v>0.5</v>
      </c>
      <c r="Q11" s="20">
        <f t="shared" si="15"/>
        <v>2.5</v>
      </c>
      <c r="R11" s="21" t="s">
        <v>188</v>
      </c>
      <c r="U11" s="42" t="s">
        <v>75</v>
      </c>
      <c r="Y11" s="31"/>
      <c r="AB11" s="25" t="s">
        <v>42</v>
      </c>
      <c r="AC11" s="28" t="s">
        <v>68</v>
      </c>
      <c r="AH11" s="28" t="s">
        <v>377</v>
      </c>
      <c r="AI11" s="28" t="s">
        <v>386</v>
      </c>
    </row>
    <row r="12" spans="1:36" x14ac:dyDescent="0.25">
      <c r="B12" s="1" t="s">
        <v>251</v>
      </c>
      <c r="C12" s="1" t="s">
        <v>167</v>
      </c>
      <c r="D12" s="2">
        <v>3</v>
      </c>
      <c r="E12" s="2" t="s">
        <v>16</v>
      </c>
      <c r="F12" s="2">
        <v>2</v>
      </c>
      <c r="G12" s="2">
        <v>1</v>
      </c>
      <c r="H12" s="2">
        <v>5</v>
      </c>
      <c r="I12" s="2">
        <v>1</v>
      </c>
      <c r="J12" s="7">
        <f t="shared" si="8"/>
        <v>3.5</v>
      </c>
      <c r="K12" s="7">
        <f t="shared" si="9"/>
        <v>0.5</v>
      </c>
      <c r="L12" s="20">
        <f t="shared" si="10"/>
        <v>2.5</v>
      </c>
      <c r="M12" s="20">
        <f t="shared" si="11"/>
        <v>0.5</v>
      </c>
      <c r="N12" s="20">
        <f t="shared" si="12"/>
        <v>1</v>
      </c>
      <c r="O12" s="20">
        <f t="shared" si="13"/>
        <v>2</v>
      </c>
      <c r="P12" s="20">
        <f t="shared" si="14"/>
        <v>0.66666666666666663</v>
      </c>
      <c r="Q12" s="20">
        <f t="shared" si="15"/>
        <v>3</v>
      </c>
      <c r="U12" s="42" t="s">
        <v>252</v>
      </c>
      <c r="W12" s="25" t="s">
        <v>41</v>
      </c>
      <c r="Y12" s="31"/>
      <c r="AB12" s="25" t="s">
        <v>546</v>
      </c>
      <c r="AC12" s="28" t="s">
        <v>547</v>
      </c>
      <c r="AH12" s="28" t="s">
        <v>378</v>
      </c>
      <c r="AI12" s="28" t="s">
        <v>385</v>
      </c>
    </row>
    <row r="13" spans="1:36" x14ac:dyDescent="0.25">
      <c r="B13" s="1" t="s">
        <v>1</v>
      </c>
      <c r="C13" s="1" t="s">
        <v>621</v>
      </c>
      <c r="D13" s="2">
        <v>2</v>
      </c>
      <c r="E13" s="2" t="s">
        <v>16</v>
      </c>
      <c r="F13" s="2">
        <v>3</v>
      </c>
      <c r="G13" s="2">
        <v>1</v>
      </c>
      <c r="H13" s="2">
        <v>5</v>
      </c>
      <c r="I13" s="2">
        <v>0</v>
      </c>
      <c r="J13" s="7">
        <f t="shared" si="8"/>
        <v>2</v>
      </c>
      <c r="K13" s="7">
        <f t="shared" si="9"/>
        <v>0.33333333333333331</v>
      </c>
      <c r="L13" s="20">
        <f t="shared" si="10"/>
        <v>1.6666666666666667</v>
      </c>
      <c r="M13" s="20">
        <f t="shared" si="11"/>
        <v>0</v>
      </c>
      <c r="N13" s="20">
        <f t="shared" si="12"/>
        <v>0.33333333333333331</v>
      </c>
      <c r="O13" s="20">
        <f t="shared" si="13"/>
        <v>1</v>
      </c>
      <c r="P13" s="20">
        <f t="shared" si="14"/>
        <v>0.5</v>
      </c>
      <c r="Q13" s="20">
        <f t="shared" si="15"/>
        <v>2</v>
      </c>
      <c r="S13" s="22" t="s">
        <v>58</v>
      </c>
      <c r="Y13" s="31"/>
      <c r="AB13" s="25" t="s">
        <v>17</v>
      </c>
      <c r="AC13" s="28" t="s">
        <v>111</v>
      </c>
      <c r="AH13" s="28" t="s">
        <v>379</v>
      </c>
      <c r="AI13" s="28" t="s">
        <v>384</v>
      </c>
      <c r="AJ13" s="28" t="s">
        <v>384</v>
      </c>
    </row>
    <row r="14" spans="1:36" x14ac:dyDescent="0.25">
      <c r="B14" s="1" t="s">
        <v>28</v>
      </c>
      <c r="C14" s="1" t="s">
        <v>621</v>
      </c>
      <c r="D14" s="2">
        <v>3</v>
      </c>
      <c r="E14" s="1" t="s">
        <v>59</v>
      </c>
      <c r="F14" s="2">
        <v>2</v>
      </c>
      <c r="G14" s="2">
        <v>1</v>
      </c>
      <c r="H14" s="2">
        <v>5</v>
      </c>
      <c r="I14" s="2">
        <v>1</v>
      </c>
      <c r="J14" s="7">
        <f t="shared" si="8"/>
        <v>3.5</v>
      </c>
      <c r="K14" s="7">
        <f t="shared" si="9"/>
        <v>0.5</v>
      </c>
      <c r="L14" s="20">
        <f t="shared" si="10"/>
        <v>2.5</v>
      </c>
      <c r="M14" s="20">
        <f t="shared" si="11"/>
        <v>0.5</v>
      </c>
      <c r="N14" s="20">
        <f t="shared" si="12"/>
        <v>1</v>
      </c>
      <c r="O14" s="20">
        <f t="shared" si="13"/>
        <v>2</v>
      </c>
      <c r="P14" s="20">
        <f t="shared" si="14"/>
        <v>0.66666666666666663</v>
      </c>
      <c r="Q14" s="20">
        <f t="shared" si="15"/>
        <v>3</v>
      </c>
      <c r="S14" s="22" t="s">
        <v>43</v>
      </c>
      <c r="Y14" s="31"/>
      <c r="AB14" s="25" t="s">
        <v>545</v>
      </c>
      <c r="AC14" s="28" t="s">
        <v>573</v>
      </c>
      <c r="AH14" s="28" t="s">
        <v>380</v>
      </c>
      <c r="AI14" s="28" t="s">
        <v>383</v>
      </c>
    </row>
    <row r="15" spans="1:36" x14ac:dyDescent="0.25">
      <c r="B15" s="1" t="s">
        <v>0</v>
      </c>
      <c r="C15" s="1" t="s">
        <v>621</v>
      </c>
      <c r="D15" s="2">
        <v>1</v>
      </c>
      <c r="E15" s="2" t="s">
        <v>16</v>
      </c>
      <c r="F15" s="2">
        <v>2</v>
      </c>
      <c r="G15" s="2">
        <v>1</v>
      </c>
      <c r="H15" s="2">
        <v>4</v>
      </c>
      <c r="I15" s="2">
        <v>1</v>
      </c>
      <c r="J15" s="7">
        <f t="shared" si="8"/>
        <v>3</v>
      </c>
      <c r="K15" s="7">
        <f t="shared" si="9"/>
        <v>0.5</v>
      </c>
      <c r="L15" s="20">
        <f t="shared" si="10"/>
        <v>2</v>
      </c>
      <c r="M15" s="20">
        <f t="shared" si="11"/>
        <v>0.5</v>
      </c>
      <c r="N15" s="20">
        <f t="shared" si="12"/>
        <v>1</v>
      </c>
      <c r="O15" s="20">
        <f t="shared" si="13"/>
        <v>2</v>
      </c>
      <c r="P15" s="20">
        <f t="shared" si="14"/>
        <v>2</v>
      </c>
      <c r="Q15" s="20">
        <f t="shared" si="15"/>
        <v>2.5</v>
      </c>
      <c r="Y15" s="31"/>
      <c r="AB15" s="25" t="s">
        <v>209</v>
      </c>
      <c r="AC15" s="28" t="s">
        <v>210</v>
      </c>
      <c r="AH15" s="28" t="s">
        <v>381</v>
      </c>
      <c r="AI15" s="28" t="s">
        <v>382</v>
      </c>
    </row>
    <row r="16" spans="1:36" x14ac:dyDescent="0.25">
      <c r="B16" s="1" t="s">
        <v>26</v>
      </c>
      <c r="C16" s="1" t="s">
        <v>621</v>
      </c>
      <c r="D16" s="2">
        <v>9</v>
      </c>
      <c r="E16" s="2" t="s">
        <v>18</v>
      </c>
      <c r="F16" s="2">
        <v>9</v>
      </c>
      <c r="G16" s="2">
        <v>3</v>
      </c>
      <c r="H16" s="2">
        <v>16</v>
      </c>
      <c r="I16" s="2">
        <v>0</v>
      </c>
      <c r="J16" s="7">
        <f t="shared" si="8"/>
        <v>2.1111111111111112</v>
      </c>
      <c r="K16" s="7">
        <f t="shared" si="9"/>
        <v>0.33333333333333331</v>
      </c>
      <c r="L16" s="20">
        <f t="shared" si="10"/>
        <v>1.7777777777777777</v>
      </c>
      <c r="M16" s="20">
        <f t="shared" si="11"/>
        <v>0</v>
      </c>
      <c r="N16" s="20">
        <f t="shared" si="12"/>
        <v>0.33333333333333331</v>
      </c>
      <c r="O16" s="20">
        <f t="shared" si="13"/>
        <v>3</v>
      </c>
      <c r="P16" s="20">
        <f t="shared" si="14"/>
        <v>0.33333333333333331</v>
      </c>
      <c r="Q16" s="20">
        <f t="shared" si="15"/>
        <v>2.1111111111111112</v>
      </c>
      <c r="S16" s="22" t="s">
        <v>87</v>
      </c>
      <c r="X16" s="26" t="s">
        <v>471</v>
      </c>
      <c r="Y16" s="31"/>
      <c r="AB16" s="25" t="s">
        <v>104</v>
      </c>
      <c r="AC16" s="28" t="s">
        <v>105</v>
      </c>
    </row>
    <row r="17" spans="1:29" x14ac:dyDescent="0.25">
      <c r="B17" s="1" t="s">
        <v>266</v>
      </c>
      <c r="C17" s="1" t="s">
        <v>622</v>
      </c>
      <c r="D17" s="2">
        <v>9</v>
      </c>
      <c r="E17" s="2" t="s">
        <v>627</v>
      </c>
      <c r="F17" s="2">
        <v>7</v>
      </c>
      <c r="G17" s="2">
        <v>3</v>
      </c>
      <c r="H17" s="2">
        <v>8</v>
      </c>
      <c r="I17" s="2">
        <v>3</v>
      </c>
      <c r="J17" s="7">
        <f t="shared" si="8"/>
        <v>2</v>
      </c>
      <c r="K17" s="7">
        <f t="shared" si="9"/>
        <v>0.42857142857142855</v>
      </c>
      <c r="L17" s="20">
        <f t="shared" si="10"/>
        <v>1.1428571428571428</v>
      </c>
      <c r="M17" s="20">
        <f t="shared" si="11"/>
        <v>0.42857142857142855</v>
      </c>
      <c r="N17" s="20">
        <f t="shared" si="12"/>
        <v>0.8571428571428571</v>
      </c>
      <c r="O17" s="20">
        <f t="shared" si="13"/>
        <v>6</v>
      </c>
      <c r="P17" s="20">
        <f t="shared" si="14"/>
        <v>0.66666666666666663</v>
      </c>
      <c r="Q17" s="20">
        <f t="shared" si="15"/>
        <v>1.5714285714285714</v>
      </c>
      <c r="R17" s="21" t="s">
        <v>41</v>
      </c>
      <c r="T17" s="29" t="s">
        <v>43</v>
      </c>
      <c r="W17" s="25" t="s">
        <v>583</v>
      </c>
      <c r="Y17" s="31"/>
    </row>
    <row r="18" spans="1:29" x14ac:dyDescent="0.25">
      <c r="B18" s="1" t="s">
        <v>280</v>
      </c>
      <c r="C18" s="1" t="s">
        <v>622</v>
      </c>
      <c r="D18" s="2">
        <v>5</v>
      </c>
      <c r="E18" s="2" t="s">
        <v>59</v>
      </c>
      <c r="F18" s="2">
        <v>5</v>
      </c>
      <c r="G18" s="2">
        <v>2</v>
      </c>
      <c r="H18" s="2">
        <v>6</v>
      </c>
      <c r="I18" s="2">
        <v>2</v>
      </c>
      <c r="J18" s="7">
        <f t="shared" si="8"/>
        <v>2</v>
      </c>
      <c r="K18" s="7">
        <f t="shared" si="9"/>
        <v>0.4</v>
      </c>
      <c r="L18" s="20">
        <f t="shared" si="10"/>
        <v>1.2</v>
      </c>
      <c r="M18" s="20">
        <f t="shared" si="11"/>
        <v>0.4</v>
      </c>
      <c r="N18" s="20">
        <f t="shared" si="12"/>
        <v>0.8</v>
      </c>
      <c r="O18" s="20">
        <f t="shared" si="13"/>
        <v>4</v>
      </c>
      <c r="P18" s="20">
        <f t="shared" si="14"/>
        <v>0.8</v>
      </c>
      <c r="Q18" s="20">
        <f t="shared" si="15"/>
        <v>1.6</v>
      </c>
      <c r="T18" s="29" t="s">
        <v>19</v>
      </c>
      <c r="Y18" s="31"/>
      <c r="AB18" s="25" t="s">
        <v>549</v>
      </c>
    </row>
    <row r="19" spans="1:29" x14ac:dyDescent="0.25">
      <c r="B19" s="1" t="s">
        <v>212</v>
      </c>
      <c r="C19" s="1" t="s">
        <v>167</v>
      </c>
      <c r="D19" s="2">
        <v>4</v>
      </c>
      <c r="E19" s="2" t="s">
        <v>59</v>
      </c>
      <c r="F19" s="2">
        <v>3</v>
      </c>
      <c r="G19" s="2">
        <v>3</v>
      </c>
      <c r="H19" s="2">
        <v>4</v>
      </c>
      <c r="I19" s="2">
        <v>1</v>
      </c>
      <c r="J19" s="7">
        <f t="shared" si="8"/>
        <v>2.6666666666666665</v>
      </c>
      <c r="K19" s="7">
        <f t="shared" si="9"/>
        <v>1</v>
      </c>
      <c r="L19" s="20">
        <f t="shared" si="10"/>
        <v>1.3333333333333333</v>
      </c>
      <c r="M19" s="20">
        <f t="shared" si="11"/>
        <v>0.33333333333333331</v>
      </c>
      <c r="N19" s="20">
        <f t="shared" si="12"/>
        <v>1.3333333333333333</v>
      </c>
      <c r="O19" s="20">
        <f t="shared" si="13"/>
        <v>4</v>
      </c>
      <c r="P19" s="20">
        <f t="shared" si="14"/>
        <v>1</v>
      </c>
      <c r="Q19" s="20">
        <f t="shared" si="15"/>
        <v>2.333333333333333</v>
      </c>
      <c r="U19" s="42" t="s">
        <v>213</v>
      </c>
      <c r="Y19" s="31"/>
      <c r="AB19" s="25" t="s">
        <v>60</v>
      </c>
      <c r="AC19" s="28" t="s">
        <v>72</v>
      </c>
    </row>
    <row r="20" spans="1:29" x14ac:dyDescent="0.25">
      <c r="B20" s="1" t="s">
        <v>227</v>
      </c>
      <c r="C20" s="1" t="s">
        <v>167</v>
      </c>
      <c r="D20" s="2">
        <v>4</v>
      </c>
      <c r="E20" s="2" t="s">
        <v>42</v>
      </c>
      <c r="F20" s="2">
        <v>3</v>
      </c>
      <c r="G20" s="2">
        <v>1</v>
      </c>
      <c r="H20" s="2">
        <v>3</v>
      </c>
      <c r="I20" s="2">
        <v>1</v>
      </c>
      <c r="J20" s="7">
        <f t="shared" si="8"/>
        <v>1.6666666666666667</v>
      </c>
      <c r="K20" s="7">
        <f t="shared" si="9"/>
        <v>0.33333333333333331</v>
      </c>
      <c r="L20" s="20">
        <f t="shared" si="10"/>
        <v>1</v>
      </c>
      <c r="M20" s="20">
        <f t="shared" si="11"/>
        <v>0.33333333333333331</v>
      </c>
      <c r="N20" s="20">
        <f t="shared" si="12"/>
        <v>0.66666666666666663</v>
      </c>
      <c r="O20" s="20">
        <f t="shared" si="13"/>
        <v>2</v>
      </c>
      <c r="P20" s="20">
        <f t="shared" si="14"/>
        <v>0.5</v>
      </c>
      <c r="Q20" s="20">
        <f t="shared" si="15"/>
        <v>1.3333333333333333</v>
      </c>
      <c r="U20" s="42" t="s">
        <v>228</v>
      </c>
      <c r="Y20" s="31"/>
      <c r="AB20" s="25" t="s">
        <v>61</v>
      </c>
      <c r="AC20" s="28" t="s">
        <v>73</v>
      </c>
    </row>
    <row r="21" spans="1:29" x14ac:dyDescent="0.25">
      <c r="B21" s="1" t="s">
        <v>286</v>
      </c>
      <c r="C21" s="1" t="s">
        <v>622</v>
      </c>
      <c r="D21" s="2">
        <v>9</v>
      </c>
      <c r="E21" s="2" t="s">
        <v>59</v>
      </c>
      <c r="F21" s="2">
        <v>11</v>
      </c>
      <c r="G21" s="2">
        <v>2</v>
      </c>
      <c r="H21" s="2">
        <v>10</v>
      </c>
      <c r="I21" s="2">
        <v>1</v>
      </c>
      <c r="J21" s="7">
        <f t="shared" si="8"/>
        <v>1.1818181818181819</v>
      </c>
      <c r="K21" s="7">
        <f t="shared" si="9"/>
        <v>0.18181818181818182</v>
      </c>
      <c r="L21" s="20">
        <f t="shared" si="10"/>
        <v>0.90909090909090906</v>
      </c>
      <c r="M21" s="20">
        <f t="shared" si="11"/>
        <v>9.0909090909090912E-2</v>
      </c>
      <c r="N21" s="20">
        <f t="shared" si="12"/>
        <v>0.27272727272727271</v>
      </c>
      <c r="O21" s="20">
        <f t="shared" si="13"/>
        <v>3</v>
      </c>
      <c r="P21" s="20">
        <f t="shared" si="14"/>
        <v>0.33333333333333331</v>
      </c>
      <c r="Q21" s="20">
        <f t="shared" si="15"/>
        <v>1.0909090909090908</v>
      </c>
      <c r="T21" s="29" t="s">
        <v>595</v>
      </c>
      <c r="X21" s="26" t="s">
        <v>7</v>
      </c>
      <c r="Y21" s="31"/>
      <c r="AB21" s="25" t="s">
        <v>62</v>
      </c>
      <c r="AC21" s="28" t="s">
        <v>74</v>
      </c>
    </row>
    <row r="22" spans="1:29" x14ac:dyDescent="0.25">
      <c r="B22" s="1" t="s">
        <v>260</v>
      </c>
      <c r="C22" s="1" t="s">
        <v>622</v>
      </c>
      <c r="D22" s="2">
        <v>4</v>
      </c>
      <c r="E22" s="2" t="s">
        <v>16</v>
      </c>
      <c r="F22" s="2">
        <v>3</v>
      </c>
      <c r="G22" s="2">
        <v>2</v>
      </c>
      <c r="H22" s="2">
        <v>5</v>
      </c>
      <c r="I22" s="2">
        <v>1</v>
      </c>
      <c r="J22" s="7">
        <f t="shared" si="8"/>
        <v>2.6666666666666665</v>
      </c>
      <c r="K22" s="7">
        <f t="shared" si="9"/>
        <v>0.66666666666666663</v>
      </c>
      <c r="L22" s="20">
        <f t="shared" si="10"/>
        <v>1.6666666666666667</v>
      </c>
      <c r="M22" s="20">
        <f t="shared" si="11"/>
        <v>0.33333333333333331</v>
      </c>
      <c r="N22" s="20">
        <f t="shared" si="12"/>
        <v>1</v>
      </c>
      <c r="O22" s="20">
        <f t="shared" si="13"/>
        <v>3</v>
      </c>
      <c r="P22" s="20">
        <f t="shared" si="14"/>
        <v>0.75</v>
      </c>
      <c r="Q22" s="20">
        <f t="shared" si="15"/>
        <v>2.3333333333333335</v>
      </c>
      <c r="T22" s="29" t="s">
        <v>43</v>
      </c>
      <c r="Y22" s="31"/>
      <c r="AB22" s="25" t="s">
        <v>63</v>
      </c>
      <c r="AC22" s="28" t="s">
        <v>2</v>
      </c>
    </row>
    <row r="23" spans="1:29" x14ac:dyDescent="0.25">
      <c r="B23" s="1" t="s">
        <v>119</v>
      </c>
      <c r="C23" s="1" t="s">
        <v>621</v>
      </c>
      <c r="D23" s="2">
        <v>4</v>
      </c>
      <c r="E23" s="2" t="s">
        <v>627</v>
      </c>
      <c r="F23" s="2">
        <v>4</v>
      </c>
      <c r="G23" s="2">
        <v>2</v>
      </c>
      <c r="H23" s="2">
        <v>5</v>
      </c>
      <c r="I23" s="2">
        <v>2</v>
      </c>
      <c r="J23" s="7">
        <f t="shared" si="8"/>
        <v>2.25</v>
      </c>
      <c r="K23" s="7">
        <f t="shared" si="9"/>
        <v>0.5</v>
      </c>
      <c r="L23" s="20">
        <f t="shared" si="10"/>
        <v>1.25</v>
      </c>
      <c r="M23" s="20">
        <f t="shared" si="11"/>
        <v>0.5</v>
      </c>
      <c r="N23" s="20">
        <f t="shared" si="12"/>
        <v>1</v>
      </c>
      <c r="O23" s="20">
        <f t="shared" si="13"/>
        <v>4</v>
      </c>
      <c r="P23" s="20">
        <f t="shared" si="14"/>
        <v>1</v>
      </c>
      <c r="Q23" s="20">
        <f t="shared" si="15"/>
        <v>1.75</v>
      </c>
      <c r="R23" s="21" t="s">
        <v>43</v>
      </c>
      <c r="V23" s="26" t="s">
        <v>122</v>
      </c>
      <c r="W23" s="24"/>
      <c r="X23" s="26" t="s">
        <v>243</v>
      </c>
      <c r="Y23" s="31"/>
      <c r="AB23" s="25" t="s">
        <v>659</v>
      </c>
      <c r="AC23" s="28" t="s">
        <v>660</v>
      </c>
    </row>
    <row r="24" spans="1:29" x14ac:dyDescent="0.25">
      <c r="B24" s="1" t="s">
        <v>211</v>
      </c>
      <c r="C24" s="1" t="s">
        <v>167</v>
      </c>
      <c r="D24" s="2">
        <v>3</v>
      </c>
      <c r="E24" s="2" t="s">
        <v>59</v>
      </c>
      <c r="F24" s="2">
        <v>3</v>
      </c>
      <c r="G24" s="2">
        <v>3</v>
      </c>
      <c r="H24" s="2">
        <v>3</v>
      </c>
      <c r="I24" s="2">
        <v>1</v>
      </c>
      <c r="J24" s="7">
        <f t="shared" si="8"/>
        <v>2.3333333333333335</v>
      </c>
      <c r="K24" s="7">
        <f t="shared" si="9"/>
        <v>1</v>
      </c>
      <c r="L24" s="20">
        <f t="shared" si="10"/>
        <v>1</v>
      </c>
      <c r="M24" s="20">
        <f t="shared" si="11"/>
        <v>0.33333333333333331</v>
      </c>
      <c r="N24" s="20">
        <f t="shared" si="12"/>
        <v>1.3333333333333333</v>
      </c>
      <c r="O24" s="20">
        <f t="shared" si="13"/>
        <v>4</v>
      </c>
      <c r="P24" s="20">
        <f t="shared" si="14"/>
        <v>1.3333333333333333</v>
      </c>
      <c r="Q24" s="20">
        <f t="shared" si="15"/>
        <v>2</v>
      </c>
      <c r="U24" s="42" t="s">
        <v>75</v>
      </c>
      <c r="Y24" s="31"/>
    </row>
    <row r="25" spans="1:29" x14ac:dyDescent="0.25">
      <c r="B25" s="1" t="s">
        <v>123</v>
      </c>
      <c r="C25" s="1" t="s">
        <v>621</v>
      </c>
      <c r="D25" s="2">
        <v>3</v>
      </c>
      <c r="E25" s="2" t="s">
        <v>16</v>
      </c>
      <c r="F25" s="2">
        <v>3</v>
      </c>
      <c r="G25" s="2">
        <v>1</v>
      </c>
      <c r="H25" s="2">
        <v>5</v>
      </c>
      <c r="I25" s="2">
        <v>1</v>
      </c>
      <c r="J25" s="7">
        <f t="shared" si="8"/>
        <v>2.3333333333333335</v>
      </c>
      <c r="K25" s="7">
        <f t="shared" si="9"/>
        <v>0.33333333333333331</v>
      </c>
      <c r="L25" s="20">
        <f t="shared" si="10"/>
        <v>1.6666666666666667</v>
      </c>
      <c r="M25" s="20">
        <f t="shared" si="11"/>
        <v>0.33333333333333331</v>
      </c>
      <c r="N25" s="20">
        <f t="shared" si="12"/>
        <v>0.66666666666666663</v>
      </c>
      <c r="O25" s="20">
        <f t="shared" si="13"/>
        <v>2</v>
      </c>
      <c r="P25" s="20">
        <f t="shared" si="14"/>
        <v>0.66666666666666663</v>
      </c>
      <c r="Q25" s="20">
        <f t="shared" si="15"/>
        <v>2</v>
      </c>
      <c r="W25" s="25" t="s">
        <v>124</v>
      </c>
      <c r="X25" s="26" t="s">
        <v>125</v>
      </c>
      <c r="Y25" s="31"/>
      <c r="AB25" s="25" t="s">
        <v>550</v>
      </c>
    </row>
    <row r="26" spans="1:29" x14ac:dyDescent="0.25">
      <c r="B26" s="1" t="s">
        <v>130</v>
      </c>
      <c r="C26" s="1" t="s">
        <v>621</v>
      </c>
      <c r="D26" s="2">
        <v>3</v>
      </c>
      <c r="E26" s="2" t="s">
        <v>16</v>
      </c>
      <c r="F26" s="2">
        <v>3</v>
      </c>
      <c r="G26" s="2">
        <v>1</v>
      </c>
      <c r="H26" s="2">
        <v>5</v>
      </c>
      <c r="I26" s="2">
        <v>1</v>
      </c>
      <c r="J26" s="7">
        <f t="shared" si="8"/>
        <v>2.3333333333333335</v>
      </c>
      <c r="K26" s="7">
        <f t="shared" si="9"/>
        <v>0.33333333333333331</v>
      </c>
      <c r="L26" s="20">
        <f t="shared" si="10"/>
        <v>1.6666666666666667</v>
      </c>
      <c r="M26" s="20">
        <f t="shared" si="11"/>
        <v>0.33333333333333331</v>
      </c>
      <c r="N26" s="20">
        <f t="shared" si="12"/>
        <v>0.66666666666666663</v>
      </c>
      <c r="O26" s="20">
        <f t="shared" si="13"/>
        <v>2</v>
      </c>
      <c r="P26" s="20">
        <f t="shared" si="14"/>
        <v>0.66666666666666663</v>
      </c>
      <c r="Q26" s="20">
        <f t="shared" si="15"/>
        <v>2</v>
      </c>
      <c r="R26" s="21" t="s">
        <v>131</v>
      </c>
      <c r="Y26" s="31"/>
      <c r="AB26" s="25" t="s">
        <v>7</v>
      </c>
      <c r="AC26" s="28" t="s">
        <v>69</v>
      </c>
    </row>
    <row r="27" spans="1:29" x14ac:dyDescent="0.25">
      <c r="B27" s="1" t="s">
        <v>35</v>
      </c>
      <c r="C27" s="1" t="s">
        <v>621</v>
      </c>
      <c r="D27" s="2">
        <v>4</v>
      </c>
      <c r="E27" s="2" t="s">
        <v>42</v>
      </c>
      <c r="F27" s="2">
        <v>5</v>
      </c>
      <c r="G27" s="2">
        <v>1</v>
      </c>
      <c r="H27" s="2">
        <v>5</v>
      </c>
      <c r="I27" s="2">
        <v>1</v>
      </c>
      <c r="J27" s="7">
        <f t="shared" si="8"/>
        <v>1.4</v>
      </c>
      <c r="K27" s="7">
        <f t="shared" si="9"/>
        <v>0.2</v>
      </c>
      <c r="L27" s="20">
        <f t="shared" si="10"/>
        <v>1</v>
      </c>
      <c r="M27" s="20">
        <f t="shared" si="11"/>
        <v>0.2</v>
      </c>
      <c r="N27" s="20">
        <f t="shared" si="12"/>
        <v>0.4</v>
      </c>
      <c r="O27" s="20">
        <f t="shared" si="13"/>
        <v>2</v>
      </c>
      <c r="P27" s="20">
        <f t="shared" si="14"/>
        <v>0.5</v>
      </c>
      <c r="Q27" s="20">
        <f t="shared" si="15"/>
        <v>1.2</v>
      </c>
      <c r="S27" s="22" t="s">
        <v>474</v>
      </c>
      <c r="Y27" s="31"/>
      <c r="AB27" s="25" t="s">
        <v>43</v>
      </c>
      <c r="AC27" s="28" t="s">
        <v>70</v>
      </c>
    </row>
    <row r="28" spans="1:29" x14ac:dyDescent="0.25">
      <c r="B28" s="1" t="s">
        <v>255</v>
      </c>
      <c r="C28" s="1" t="s">
        <v>622</v>
      </c>
      <c r="D28" s="2">
        <v>1</v>
      </c>
      <c r="E28" s="2" t="s">
        <v>16</v>
      </c>
      <c r="F28" s="2">
        <v>3</v>
      </c>
      <c r="G28" s="2">
        <v>2</v>
      </c>
      <c r="H28" s="2">
        <v>3</v>
      </c>
      <c r="I28" s="2">
        <v>1</v>
      </c>
      <c r="J28" s="7">
        <f t="shared" si="8"/>
        <v>2</v>
      </c>
      <c r="K28" s="7">
        <f t="shared" si="9"/>
        <v>0.66666666666666663</v>
      </c>
      <c r="L28" s="20">
        <f t="shared" si="10"/>
        <v>1</v>
      </c>
      <c r="M28" s="20">
        <f t="shared" si="11"/>
        <v>0.33333333333333331</v>
      </c>
      <c r="N28" s="20">
        <f t="shared" si="12"/>
        <v>1</v>
      </c>
      <c r="O28" s="20">
        <f t="shared" si="13"/>
        <v>3</v>
      </c>
      <c r="P28" s="20">
        <f t="shared" si="14"/>
        <v>3</v>
      </c>
      <c r="Q28" s="20">
        <f t="shared" si="15"/>
        <v>1.6666666666666665</v>
      </c>
      <c r="Y28" s="31"/>
      <c r="AB28" s="25" t="s">
        <v>41</v>
      </c>
      <c r="AC28" s="28" t="s">
        <v>71</v>
      </c>
    </row>
    <row r="29" spans="1:29" x14ac:dyDescent="0.25">
      <c r="B29" s="1" t="s">
        <v>470</v>
      </c>
      <c r="C29" s="1" t="s">
        <v>622</v>
      </c>
      <c r="D29" s="2">
        <v>3</v>
      </c>
      <c r="E29" s="2" t="s">
        <v>42</v>
      </c>
      <c r="F29" s="2">
        <v>3</v>
      </c>
      <c r="G29" s="2">
        <v>1</v>
      </c>
      <c r="H29" s="2">
        <v>3</v>
      </c>
      <c r="I29" s="2">
        <v>1</v>
      </c>
      <c r="J29" s="7">
        <f t="shared" si="8"/>
        <v>1.6666666666666667</v>
      </c>
      <c r="K29" s="7">
        <f t="shared" si="9"/>
        <v>0.33333333333333331</v>
      </c>
      <c r="L29" s="20">
        <f t="shared" si="10"/>
        <v>1</v>
      </c>
      <c r="M29" s="20">
        <f t="shared" si="11"/>
        <v>0.33333333333333331</v>
      </c>
      <c r="N29" s="20">
        <f t="shared" si="12"/>
        <v>0.66666666666666663</v>
      </c>
      <c r="O29" s="20">
        <f t="shared" si="13"/>
        <v>2</v>
      </c>
      <c r="P29" s="20">
        <f t="shared" si="14"/>
        <v>0.66666666666666663</v>
      </c>
      <c r="Q29" s="20">
        <f t="shared" si="15"/>
        <v>1.3333333333333333</v>
      </c>
      <c r="T29" s="29" t="s">
        <v>43</v>
      </c>
      <c r="Y29" s="31"/>
      <c r="AB29" s="25" t="s">
        <v>75</v>
      </c>
      <c r="AC29" s="28" t="s">
        <v>76</v>
      </c>
    </row>
    <row r="30" spans="1:29" x14ac:dyDescent="0.25">
      <c r="A30" s="1" t="s">
        <v>372</v>
      </c>
      <c r="B30" s="1" t="s">
        <v>205</v>
      </c>
      <c r="C30" s="1" t="s">
        <v>167</v>
      </c>
      <c r="D30" s="2">
        <v>10</v>
      </c>
      <c r="E30" s="2" t="s">
        <v>627</v>
      </c>
      <c r="F30" s="2">
        <v>6</v>
      </c>
      <c r="G30" s="2">
        <v>4</v>
      </c>
      <c r="H30" s="2">
        <v>9</v>
      </c>
      <c r="I30" s="2">
        <v>1</v>
      </c>
      <c r="J30" s="7">
        <f t="shared" ref="J30:J61" si="16">(G30+H30+I30)/F30</f>
        <v>2.3333333333333335</v>
      </c>
      <c r="K30" s="7">
        <f t="shared" ref="K30:K61" si="17">G30/F30</f>
        <v>0.66666666666666663</v>
      </c>
      <c r="L30" s="20">
        <f t="shared" ref="L30:L61" si="18">H30/F30</f>
        <v>1.5</v>
      </c>
      <c r="M30" s="20">
        <f t="shared" ref="M30:M61" si="19">I30/F30</f>
        <v>0.16666666666666666</v>
      </c>
      <c r="N30" s="20">
        <f t="shared" ref="N30:N61" si="20">(G30+I30)/F30</f>
        <v>0.83333333333333337</v>
      </c>
      <c r="O30" s="20">
        <f t="shared" ref="O30:O61" si="21">G30+I30</f>
        <v>5</v>
      </c>
      <c r="P30" s="20">
        <f t="shared" ref="P30:P61" si="22">O30/D30</f>
        <v>0.5</v>
      </c>
      <c r="Q30" s="20">
        <f t="shared" ref="Q30:Q61" si="23">K30+L30</f>
        <v>2.1666666666666665</v>
      </c>
      <c r="R30" s="21" t="s">
        <v>47</v>
      </c>
      <c r="U30" s="42" t="s">
        <v>208</v>
      </c>
      <c r="Y30" s="31"/>
      <c r="AB30" s="25" t="s">
        <v>47</v>
      </c>
      <c r="AC30" s="28" t="s">
        <v>98</v>
      </c>
    </row>
    <row r="31" spans="1:29" x14ac:dyDescent="0.25">
      <c r="B31" s="1" t="s">
        <v>247</v>
      </c>
      <c r="C31" s="1" t="s">
        <v>167</v>
      </c>
      <c r="D31" s="2">
        <v>8</v>
      </c>
      <c r="E31" s="2" t="s">
        <v>59</v>
      </c>
      <c r="F31" s="2">
        <v>10</v>
      </c>
      <c r="G31" s="2">
        <v>3</v>
      </c>
      <c r="H31" s="2">
        <v>10</v>
      </c>
      <c r="I31" s="2">
        <v>3</v>
      </c>
      <c r="J31" s="7">
        <f t="shared" si="16"/>
        <v>1.6</v>
      </c>
      <c r="K31" s="7">
        <f t="shared" si="17"/>
        <v>0.3</v>
      </c>
      <c r="L31" s="20">
        <f t="shared" si="18"/>
        <v>1</v>
      </c>
      <c r="M31" s="20">
        <f t="shared" si="19"/>
        <v>0.3</v>
      </c>
      <c r="N31" s="20">
        <f t="shared" si="20"/>
        <v>0.6</v>
      </c>
      <c r="O31" s="20">
        <f t="shared" si="21"/>
        <v>6</v>
      </c>
      <c r="P31" s="20">
        <f t="shared" si="22"/>
        <v>0.75</v>
      </c>
      <c r="Q31" s="20">
        <f t="shared" si="23"/>
        <v>1.3</v>
      </c>
      <c r="R31" s="21" t="s">
        <v>248</v>
      </c>
      <c r="Y31" s="31"/>
      <c r="AB31" s="50" t="s">
        <v>46</v>
      </c>
      <c r="AC31" s="28" t="s">
        <v>695</v>
      </c>
    </row>
    <row r="32" spans="1:29" x14ac:dyDescent="0.25">
      <c r="B32" s="1" t="s">
        <v>322</v>
      </c>
      <c r="C32" s="1" t="s">
        <v>622</v>
      </c>
      <c r="D32" s="2">
        <v>1</v>
      </c>
      <c r="E32" s="2" t="s">
        <v>18</v>
      </c>
      <c r="F32" s="2">
        <v>8</v>
      </c>
      <c r="G32" s="2">
        <v>4</v>
      </c>
      <c r="H32" s="2">
        <v>7</v>
      </c>
      <c r="I32" s="2">
        <v>2</v>
      </c>
      <c r="J32" s="7">
        <f t="shared" si="16"/>
        <v>1.625</v>
      </c>
      <c r="K32" s="7">
        <f t="shared" si="17"/>
        <v>0.5</v>
      </c>
      <c r="L32" s="20">
        <f t="shared" si="18"/>
        <v>0.875</v>
      </c>
      <c r="M32" s="20">
        <f t="shared" si="19"/>
        <v>0.25</v>
      </c>
      <c r="N32" s="20">
        <f t="shared" si="20"/>
        <v>0.75</v>
      </c>
      <c r="O32" s="20">
        <f t="shared" si="21"/>
        <v>6</v>
      </c>
      <c r="P32" s="20">
        <f t="shared" si="22"/>
        <v>6</v>
      </c>
      <c r="Q32" s="20">
        <f t="shared" si="23"/>
        <v>1.375</v>
      </c>
      <c r="Y32" s="31"/>
    </row>
    <row r="33" spans="1:29" x14ac:dyDescent="0.25">
      <c r="B33" s="1" t="s">
        <v>114</v>
      </c>
      <c r="C33" s="1" t="s">
        <v>621</v>
      </c>
      <c r="D33" s="2">
        <v>5</v>
      </c>
      <c r="E33" s="2" t="s">
        <v>18</v>
      </c>
      <c r="F33" s="2">
        <v>4</v>
      </c>
      <c r="G33" s="2">
        <v>1</v>
      </c>
      <c r="H33" s="2">
        <v>8</v>
      </c>
      <c r="I33" s="2">
        <v>1</v>
      </c>
      <c r="J33" s="7">
        <f t="shared" si="16"/>
        <v>2.5</v>
      </c>
      <c r="K33" s="7">
        <f t="shared" si="17"/>
        <v>0.25</v>
      </c>
      <c r="L33" s="20">
        <f t="shared" si="18"/>
        <v>2</v>
      </c>
      <c r="M33" s="20">
        <f t="shared" si="19"/>
        <v>0.25</v>
      </c>
      <c r="N33" s="20">
        <f t="shared" si="20"/>
        <v>0.5</v>
      </c>
      <c r="O33" s="20">
        <f t="shared" si="21"/>
        <v>2</v>
      </c>
      <c r="P33" s="20">
        <f t="shared" si="22"/>
        <v>0.4</v>
      </c>
      <c r="Q33" s="20">
        <f t="shared" si="23"/>
        <v>2.25</v>
      </c>
      <c r="V33" s="24" t="s">
        <v>116</v>
      </c>
      <c r="W33" s="25" t="s">
        <v>115</v>
      </c>
      <c r="Y33" s="31"/>
      <c r="AB33" s="25" t="s">
        <v>551</v>
      </c>
    </row>
    <row r="34" spans="1:29" x14ac:dyDescent="0.25">
      <c r="B34" s="1" t="s">
        <v>201</v>
      </c>
      <c r="C34" s="1" t="s">
        <v>167</v>
      </c>
      <c r="D34" s="2">
        <v>7</v>
      </c>
      <c r="E34" s="2" t="s">
        <v>627</v>
      </c>
      <c r="F34" s="2">
        <v>4</v>
      </c>
      <c r="G34" s="2">
        <v>4</v>
      </c>
      <c r="H34" s="2">
        <v>6</v>
      </c>
      <c r="I34" s="2">
        <v>1</v>
      </c>
      <c r="J34" s="7">
        <f t="shared" si="16"/>
        <v>2.75</v>
      </c>
      <c r="K34" s="7">
        <f t="shared" si="17"/>
        <v>1</v>
      </c>
      <c r="L34" s="20">
        <f t="shared" si="18"/>
        <v>1.5</v>
      </c>
      <c r="M34" s="20">
        <f t="shared" si="19"/>
        <v>0.25</v>
      </c>
      <c r="N34" s="20">
        <f t="shared" si="20"/>
        <v>1.25</v>
      </c>
      <c r="O34" s="20">
        <f t="shared" si="21"/>
        <v>5</v>
      </c>
      <c r="P34" s="20">
        <f t="shared" si="22"/>
        <v>0.7142857142857143</v>
      </c>
      <c r="Q34" s="20">
        <f t="shared" si="23"/>
        <v>2.5</v>
      </c>
      <c r="U34" s="42" t="s">
        <v>41</v>
      </c>
      <c r="Y34" s="31"/>
      <c r="AB34" s="25" t="s">
        <v>77</v>
      </c>
      <c r="AC34" s="28" t="s">
        <v>79</v>
      </c>
    </row>
    <row r="35" spans="1:29" x14ac:dyDescent="0.25">
      <c r="B35" s="1" t="s">
        <v>202</v>
      </c>
      <c r="C35" s="1" t="s">
        <v>167</v>
      </c>
      <c r="D35" s="2">
        <v>8</v>
      </c>
      <c r="E35" s="2" t="s">
        <v>627</v>
      </c>
      <c r="F35" s="2">
        <v>5</v>
      </c>
      <c r="G35" s="2">
        <v>3</v>
      </c>
      <c r="H35" s="2">
        <v>7</v>
      </c>
      <c r="I35" s="2">
        <v>1</v>
      </c>
      <c r="J35" s="7">
        <f t="shared" si="16"/>
        <v>2.2000000000000002</v>
      </c>
      <c r="K35" s="7">
        <f t="shared" si="17"/>
        <v>0.6</v>
      </c>
      <c r="L35" s="20">
        <f t="shared" si="18"/>
        <v>1.4</v>
      </c>
      <c r="M35" s="20">
        <f t="shared" si="19"/>
        <v>0.2</v>
      </c>
      <c r="N35" s="20">
        <f t="shared" si="20"/>
        <v>0.8</v>
      </c>
      <c r="O35" s="20">
        <f t="shared" si="21"/>
        <v>4</v>
      </c>
      <c r="P35" s="20">
        <f t="shared" si="22"/>
        <v>0.5</v>
      </c>
      <c r="Q35" s="20">
        <f t="shared" si="23"/>
        <v>2</v>
      </c>
      <c r="R35" s="21" t="s">
        <v>7</v>
      </c>
      <c r="U35" s="42" t="s">
        <v>526</v>
      </c>
      <c r="X35" s="26" t="s">
        <v>203</v>
      </c>
      <c r="Y35" s="31"/>
      <c r="AB35" s="25" t="s">
        <v>126</v>
      </c>
      <c r="AC35" s="28" t="s">
        <v>127</v>
      </c>
    </row>
    <row r="36" spans="1:29" x14ac:dyDescent="0.25">
      <c r="B36" s="1" t="s">
        <v>191</v>
      </c>
      <c r="C36" s="1" t="s">
        <v>167</v>
      </c>
      <c r="D36" s="2">
        <v>6</v>
      </c>
      <c r="E36" s="2" t="s">
        <v>627</v>
      </c>
      <c r="F36" s="2">
        <v>4</v>
      </c>
      <c r="G36" s="2">
        <v>3</v>
      </c>
      <c r="H36" s="2">
        <v>6</v>
      </c>
      <c r="I36" s="2">
        <v>1</v>
      </c>
      <c r="J36" s="7">
        <f t="shared" si="16"/>
        <v>2.5</v>
      </c>
      <c r="K36" s="7">
        <f t="shared" si="17"/>
        <v>0.75</v>
      </c>
      <c r="L36" s="20">
        <f t="shared" si="18"/>
        <v>1.5</v>
      </c>
      <c r="M36" s="20">
        <f t="shared" si="19"/>
        <v>0.25</v>
      </c>
      <c r="N36" s="20">
        <f t="shared" si="20"/>
        <v>1</v>
      </c>
      <c r="O36" s="20">
        <f t="shared" si="21"/>
        <v>4</v>
      </c>
      <c r="P36" s="20">
        <f t="shared" si="22"/>
        <v>0.66666666666666663</v>
      </c>
      <c r="Q36" s="20">
        <f t="shared" si="23"/>
        <v>2.25</v>
      </c>
      <c r="R36" s="21" t="s">
        <v>13</v>
      </c>
      <c r="U36" s="42" t="s">
        <v>192</v>
      </c>
      <c r="Y36" s="31"/>
      <c r="AB36" s="25" t="s">
        <v>78</v>
      </c>
      <c r="AC36" s="28" t="s">
        <v>80</v>
      </c>
    </row>
    <row r="37" spans="1:29" x14ac:dyDescent="0.25">
      <c r="B37" s="1" t="s">
        <v>309</v>
      </c>
      <c r="C37" s="1" t="s">
        <v>622</v>
      </c>
      <c r="D37" s="2">
        <v>5</v>
      </c>
      <c r="E37" s="2" t="s">
        <v>627</v>
      </c>
      <c r="F37" s="2">
        <v>3</v>
      </c>
      <c r="G37" s="2">
        <v>2</v>
      </c>
      <c r="H37" s="2">
        <v>7</v>
      </c>
      <c r="I37" s="2">
        <v>1</v>
      </c>
      <c r="J37" s="7">
        <f t="shared" si="16"/>
        <v>3.3333333333333335</v>
      </c>
      <c r="K37" s="7">
        <f t="shared" si="17"/>
        <v>0.66666666666666663</v>
      </c>
      <c r="L37" s="20">
        <f t="shared" si="18"/>
        <v>2.3333333333333335</v>
      </c>
      <c r="M37" s="20">
        <f t="shared" si="19"/>
        <v>0.33333333333333331</v>
      </c>
      <c r="N37" s="20">
        <f t="shared" si="20"/>
        <v>1</v>
      </c>
      <c r="O37" s="20">
        <f t="shared" si="21"/>
        <v>3</v>
      </c>
      <c r="P37" s="20">
        <f t="shared" si="22"/>
        <v>0.6</v>
      </c>
      <c r="Q37" s="20">
        <f t="shared" si="23"/>
        <v>3</v>
      </c>
      <c r="V37" s="24" t="s">
        <v>75</v>
      </c>
      <c r="W37" s="25" t="s">
        <v>7</v>
      </c>
      <c r="X37" s="26" t="s">
        <v>41</v>
      </c>
      <c r="Y37" s="31"/>
      <c r="AB37" s="25" t="s">
        <v>24</v>
      </c>
      <c r="AC37" s="28" t="s">
        <v>103</v>
      </c>
    </row>
    <row r="38" spans="1:29" x14ac:dyDescent="0.25">
      <c r="B38" s="1" t="s">
        <v>272</v>
      </c>
      <c r="C38" s="1" t="s">
        <v>622</v>
      </c>
      <c r="D38" s="2">
        <v>8</v>
      </c>
      <c r="E38" s="2" t="s">
        <v>18</v>
      </c>
      <c r="F38" s="2">
        <v>9</v>
      </c>
      <c r="G38" s="2">
        <v>3</v>
      </c>
      <c r="H38" s="2">
        <v>12</v>
      </c>
      <c r="I38" s="2">
        <v>2</v>
      </c>
      <c r="J38" s="7">
        <f t="shared" si="16"/>
        <v>1.8888888888888888</v>
      </c>
      <c r="K38" s="7">
        <f t="shared" si="17"/>
        <v>0.33333333333333331</v>
      </c>
      <c r="L38" s="20">
        <f t="shared" si="18"/>
        <v>1.3333333333333333</v>
      </c>
      <c r="M38" s="20">
        <f t="shared" si="19"/>
        <v>0.22222222222222221</v>
      </c>
      <c r="N38" s="20">
        <f t="shared" si="20"/>
        <v>0.55555555555555558</v>
      </c>
      <c r="O38" s="20">
        <f t="shared" si="21"/>
        <v>5</v>
      </c>
      <c r="P38" s="20">
        <f t="shared" si="22"/>
        <v>0.625</v>
      </c>
      <c r="Q38" s="20">
        <f t="shared" si="23"/>
        <v>1.6666666666666665</v>
      </c>
      <c r="R38" s="21" t="s">
        <v>7</v>
      </c>
      <c r="T38" s="29" t="s">
        <v>41</v>
      </c>
      <c r="V38" s="24" t="s">
        <v>43</v>
      </c>
      <c r="Y38" s="31"/>
      <c r="AB38" s="25" t="s">
        <v>555</v>
      </c>
      <c r="AC38" s="28" t="s">
        <v>81</v>
      </c>
    </row>
    <row r="39" spans="1:29" x14ac:dyDescent="0.25">
      <c r="B39" s="1" t="s">
        <v>108</v>
      </c>
      <c r="C39" s="1" t="s">
        <v>621</v>
      </c>
      <c r="D39" s="2">
        <v>8</v>
      </c>
      <c r="E39" s="2" t="s">
        <v>18</v>
      </c>
      <c r="F39" s="2">
        <v>9</v>
      </c>
      <c r="G39" s="2">
        <v>2</v>
      </c>
      <c r="H39" s="2">
        <v>14</v>
      </c>
      <c r="I39" s="2">
        <v>1</v>
      </c>
      <c r="J39" s="7">
        <f t="shared" si="16"/>
        <v>1.8888888888888888</v>
      </c>
      <c r="K39" s="7">
        <f t="shared" si="17"/>
        <v>0.22222222222222221</v>
      </c>
      <c r="L39" s="20">
        <f t="shared" si="18"/>
        <v>1.5555555555555556</v>
      </c>
      <c r="M39" s="20">
        <f t="shared" si="19"/>
        <v>0.1111111111111111</v>
      </c>
      <c r="N39" s="20">
        <f t="shared" si="20"/>
        <v>0.33333333333333331</v>
      </c>
      <c r="O39" s="20">
        <f t="shared" si="21"/>
        <v>3</v>
      </c>
      <c r="P39" s="20">
        <f t="shared" si="22"/>
        <v>0.375</v>
      </c>
      <c r="Q39" s="20">
        <f t="shared" si="23"/>
        <v>1.7777777777777777</v>
      </c>
      <c r="V39" s="24" t="s">
        <v>113</v>
      </c>
      <c r="W39" s="25" t="s">
        <v>112</v>
      </c>
      <c r="X39" s="26" t="s">
        <v>7</v>
      </c>
      <c r="Y39" s="31"/>
      <c r="AB39" s="25" t="s">
        <v>120</v>
      </c>
      <c r="AC39" s="28" t="s">
        <v>121</v>
      </c>
    </row>
    <row r="40" spans="1:29" x14ac:dyDescent="0.25">
      <c r="A40" s="1" t="s">
        <v>372</v>
      </c>
      <c r="B40" s="1" t="s">
        <v>239</v>
      </c>
      <c r="C40" s="1" t="s">
        <v>167</v>
      </c>
      <c r="D40" s="2">
        <v>10</v>
      </c>
      <c r="E40" s="2" t="s">
        <v>42</v>
      </c>
      <c r="F40" s="2">
        <v>8</v>
      </c>
      <c r="G40" s="2">
        <v>4</v>
      </c>
      <c r="H40" s="2">
        <v>8</v>
      </c>
      <c r="I40" s="2">
        <v>0</v>
      </c>
      <c r="J40" s="7">
        <f t="shared" si="16"/>
        <v>1.5</v>
      </c>
      <c r="K40" s="7">
        <f t="shared" si="17"/>
        <v>0.5</v>
      </c>
      <c r="L40" s="20">
        <f t="shared" si="18"/>
        <v>1</v>
      </c>
      <c r="M40" s="20">
        <f t="shared" si="19"/>
        <v>0</v>
      </c>
      <c r="N40" s="20">
        <f t="shared" si="20"/>
        <v>0.5</v>
      </c>
      <c r="O40" s="20">
        <f t="shared" si="21"/>
        <v>4</v>
      </c>
      <c r="P40" s="20">
        <f t="shared" si="22"/>
        <v>0.4</v>
      </c>
      <c r="Q40" s="20">
        <f t="shared" si="23"/>
        <v>1.5</v>
      </c>
      <c r="R40" s="21" t="s">
        <v>47</v>
      </c>
      <c r="U40" s="42" t="s">
        <v>240</v>
      </c>
      <c r="X40" s="26" t="s">
        <v>241</v>
      </c>
      <c r="Y40" s="31"/>
      <c r="AB40" s="25" t="s">
        <v>574</v>
      </c>
      <c r="AC40" s="28" t="s">
        <v>575</v>
      </c>
    </row>
    <row r="41" spans="1:29" x14ac:dyDescent="0.25">
      <c r="B41" s="1" t="s">
        <v>310</v>
      </c>
      <c r="C41" s="1" t="s">
        <v>622</v>
      </c>
      <c r="D41" s="2">
        <v>3</v>
      </c>
      <c r="E41" s="2" t="s">
        <v>16</v>
      </c>
      <c r="F41" s="2">
        <v>4</v>
      </c>
      <c r="G41" s="2">
        <v>1</v>
      </c>
      <c r="H41" s="2">
        <v>4</v>
      </c>
      <c r="I41" s="2">
        <v>1</v>
      </c>
      <c r="J41" s="7">
        <f t="shared" si="16"/>
        <v>1.5</v>
      </c>
      <c r="K41" s="7">
        <f t="shared" si="17"/>
        <v>0.25</v>
      </c>
      <c r="L41" s="20">
        <f t="shared" si="18"/>
        <v>1</v>
      </c>
      <c r="M41" s="20">
        <f t="shared" si="19"/>
        <v>0.25</v>
      </c>
      <c r="N41" s="20">
        <f t="shared" si="20"/>
        <v>0.5</v>
      </c>
      <c r="O41" s="20">
        <f t="shared" si="21"/>
        <v>2</v>
      </c>
      <c r="P41" s="20">
        <f t="shared" si="22"/>
        <v>0.66666666666666663</v>
      </c>
      <c r="Q41" s="20">
        <f t="shared" si="23"/>
        <v>1.25</v>
      </c>
      <c r="R41" s="21" t="s">
        <v>554</v>
      </c>
      <c r="Y41" s="31"/>
      <c r="AB41" s="25" t="s">
        <v>206</v>
      </c>
      <c r="AC41" s="28" t="s">
        <v>207</v>
      </c>
    </row>
    <row r="42" spans="1:29" x14ac:dyDescent="0.25">
      <c r="B42" s="1" t="s">
        <v>319</v>
      </c>
      <c r="C42" s="1" t="s">
        <v>167</v>
      </c>
      <c r="D42" s="2">
        <v>1</v>
      </c>
      <c r="E42" s="2" t="s">
        <v>18</v>
      </c>
      <c r="F42" s="2">
        <v>4</v>
      </c>
      <c r="G42" s="2">
        <v>2</v>
      </c>
      <c r="H42" s="2">
        <v>8</v>
      </c>
      <c r="I42" s="2">
        <v>1</v>
      </c>
      <c r="J42" s="7">
        <f t="shared" si="16"/>
        <v>2.75</v>
      </c>
      <c r="K42" s="7">
        <f t="shared" si="17"/>
        <v>0.5</v>
      </c>
      <c r="L42" s="20">
        <f t="shared" si="18"/>
        <v>2</v>
      </c>
      <c r="M42" s="20">
        <f t="shared" si="19"/>
        <v>0.25</v>
      </c>
      <c r="N42" s="20">
        <f t="shared" si="20"/>
        <v>0.75</v>
      </c>
      <c r="O42" s="20">
        <f t="shared" si="21"/>
        <v>3</v>
      </c>
      <c r="P42" s="20">
        <f t="shared" si="22"/>
        <v>3</v>
      </c>
      <c r="Q42" s="20">
        <f t="shared" si="23"/>
        <v>2.5</v>
      </c>
      <c r="Y42" s="31"/>
      <c r="AB42" s="25" t="s">
        <v>220</v>
      </c>
      <c r="AC42" s="28" t="s">
        <v>221</v>
      </c>
    </row>
    <row r="43" spans="1:29" x14ac:dyDescent="0.25">
      <c r="B43" s="1" t="s">
        <v>15</v>
      </c>
      <c r="C43" s="1" t="s">
        <v>621</v>
      </c>
      <c r="D43" s="2">
        <v>7</v>
      </c>
      <c r="E43" s="2" t="s">
        <v>18</v>
      </c>
      <c r="F43" s="2">
        <v>5</v>
      </c>
      <c r="G43" s="2">
        <v>2</v>
      </c>
      <c r="H43" s="2">
        <v>10</v>
      </c>
      <c r="I43" s="2">
        <v>1</v>
      </c>
      <c r="J43" s="7">
        <f t="shared" si="16"/>
        <v>2.6</v>
      </c>
      <c r="K43" s="7">
        <f t="shared" si="17"/>
        <v>0.4</v>
      </c>
      <c r="L43" s="20">
        <f t="shared" si="18"/>
        <v>2</v>
      </c>
      <c r="M43" s="20">
        <f t="shared" si="19"/>
        <v>0.2</v>
      </c>
      <c r="N43" s="20">
        <f t="shared" si="20"/>
        <v>0.6</v>
      </c>
      <c r="O43" s="20">
        <f t="shared" si="21"/>
        <v>3</v>
      </c>
      <c r="P43" s="20">
        <f t="shared" si="22"/>
        <v>0.42857142857142855</v>
      </c>
      <c r="Q43" s="20">
        <f t="shared" si="23"/>
        <v>2.4</v>
      </c>
      <c r="R43" s="21" t="s">
        <v>7</v>
      </c>
      <c r="S43" s="22" t="s">
        <v>628</v>
      </c>
      <c r="Y43" s="31"/>
    </row>
    <row r="44" spans="1:29" x14ac:dyDescent="0.25">
      <c r="B44" s="1" t="s">
        <v>216</v>
      </c>
      <c r="C44" s="1" t="s">
        <v>167</v>
      </c>
      <c r="D44" s="2">
        <v>7</v>
      </c>
      <c r="E44" s="2" t="s">
        <v>59</v>
      </c>
      <c r="F44" s="2">
        <v>5</v>
      </c>
      <c r="G44" s="2">
        <v>3</v>
      </c>
      <c r="H44" s="2">
        <v>7</v>
      </c>
      <c r="I44" s="2">
        <v>1</v>
      </c>
      <c r="J44" s="7">
        <f t="shared" si="16"/>
        <v>2.2000000000000002</v>
      </c>
      <c r="K44" s="7">
        <f t="shared" si="17"/>
        <v>0.6</v>
      </c>
      <c r="L44" s="20">
        <f t="shared" si="18"/>
        <v>1.4</v>
      </c>
      <c r="M44" s="20">
        <f t="shared" si="19"/>
        <v>0.2</v>
      </c>
      <c r="N44" s="20">
        <f t="shared" si="20"/>
        <v>0.8</v>
      </c>
      <c r="O44" s="20">
        <f t="shared" si="21"/>
        <v>4</v>
      </c>
      <c r="P44" s="20">
        <f t="shared" si="22"/>
        <v>0.5714285714285714</v>
      </c>
      <c r="Q44" s="20">
        <f t="shared" si="23"/>
        <v>2</v>
      </c>
      <c r="U44" s="42" t="s">
        <v>699</v>
      </c>
      <c r="Y44" s="31"/>
      <c r="AB44" s="25" t="s">
        <v>617</v>
      </c>
    </row>
    <row r="45" spans="1:29" x14ac:dyDescent="0.25">
      <c r="B45" s="1" t="s">
        <v>32</v>
      </c>
      <c r="C45" s="1" t="s">
        <v>621</v>
      </c>
      <c r="D45" s="2">
        <v>7</v>
      </c>
      <c r="E45" s="1" t="s">
        <v>59</v>
      </c>
      <c r="F45" s="2">
        <v>5</v>
      </c>
      <c r="G45" s="2">
        <v>2</v>
      </c>
      <c r="H45" s="2">
        <v>9</v>
      </c>
      <c r="I45" s="2">
        <v>1</v>
      </c>
      <c r="J45" s="7">
        <f t="shared" si="16"/>
        <v>2.4</v>
      </c>
      <c r="K45" s="7">
        <f t="shared" si="17"/>
        <v>0.4</v>
      </c>
      <c r="L45" s="20">
        <f t="shared" si="18"/>
        <v>1.8</v>
      </c>
      <c r="M45" s="20">
        <f t="shared" si="19"/>
        <v>0.2</v>
      </c>
      <c r="N45" s="20">
        <f t="shared" si="20"/>
        <v>0.6</v>
      </c>
      <c r="O45" s="20">
        <f t="shared" si="21"/>
        <v>3</v>
      </c>
      <c r="P45" s="20">
        <f t="shared" si="22"/>
        <v>0.42857142857142855</v>
      </c>
      <c r="Q45" s="20">
        <f t="shared" si="23"/>
        <v>2.2000000000000002</v>
      </c>
      <c r="S45" s="22" t="s">
        <v>102</v>
      </c>
      <c r="Y45" s="31"/>
      <c r="AB45" s="25" t="s">
        <v>621</v>
      </c>
      <c r="AC45" s="28" t="s">
        <v>618</v>
      </c>
    </row>
    <row r="46" spans="1:29" x14ac:dyDescent="0.25">
      <c r="B46" s="1" t="s">
        <v>283</v>
      </c>
      <c r="C46" s="1" t="s">
        <v>622</v>
      </c>
      <c r="D46" s="2">
        <v>7</v>
      </c>
      <c r="E46" s="2" t="s">
        <v>59</v>
      </c>
      <c r="F46" s="2">
        <v>6</v>
      </c>
      <c r="G46" s="2">
        <v>3</v>
      </c>
      <c r="H46" s="2">
        <v>7</v>
      </c>
      <c r="I46" s="2">
        <v>1</v>
      </c>
      <c r="J46" s="7">
        <f t="shared" si="16"/>
        <v>1.8333333333333333</v>
      </c>
      <c r="K46" s="7">
        <f t="shared" si="17"/>
        <v>0.5</v>
      </c>
      <c r="L46" s="20">
        <f t="shared" si="18"/>
        <v>1.1666666666666667</v>
      </c>
      <c r="M46" s="20">
        <f t="shared" si="19"/>
        <v>0.16666666666666666</v>
      </c>
      <c r="N46" s="20">
        <f t="shared" si="20"/>
        <v>0.66666666666666663</v>
      </c>
      <c r="O46" s="20">
        <f t="shared" si="21"/>
        <v>4</v>
      </c>
      <c r="P46" s="20">
        <f t="shared" si="22"/>
        <v>0.5714285714285714</v>
      </c>
      <c r="Q46" s="20">
        <f t="shared" si="23"/>
        <v>1.6666666666666667</v>
      </c>
      <c r="R46" s="21" t="s">
        <v>7</v>
      </c>
      <c r="T46" s="29" t="s">
        <v>556</v>
      </c>
      <c r="Y46" s="31"/>
      <c r="AB46" s="25" t="s">
        <v>622</v>
      </c>
      <c r="AC46" s="28" t="s">
        <v>619</v>
      </c>
    </row>
    <row r="47" spans="1:29" x14ac:dyDescent="0.25">
      <c r="B47" s="1" t="s">
        <v>315</v>
      </c>
      <c r="C47" s="1" t="s">
        <v>621</v>
      </c>
      <c r="D47" s="2">
        <v>1</v>
      </c>
      <c r="E47" s="2" t="s">
        <v>627</v>
      </c>
      <c r="F47" s="2">
        <v>5</v>
      </c>
      <c r="G47" s="2">
        <v>1</v>
      </c>
      <c r="H47" s="2">
        <v>9</v>
      </c>
      <c r="I47" s="2">
        <v>1</v>
      </c>
      <c r="J47" s="7">
        <f t="shared" si="16"/>
        <v>2.2000000000000002</v>
      </c>
      <c r="K47" s="7">
        <f t="shared" si="17"/>
        <v>0.2</v>
      </c>
      <c r="L47" s="20">
        <f t="shared" si="18"/>
        <v>1.8</v>
      </c>
      <c r="M47" s="20">
        <f t="shared" si="19"/>
        <v>0.2</v>
      </c>
      <c r="N47" s="20">
        <f t="shared" si="20"/>
        <v>0.4</v>
      </c>
      <c r="O47" s="20">
        <f t="shared" si="21"/>
        <v>2</v>
      </c>
      <c r="P47" s="20">
        <f t="shared" si="22"/>
        <v>2</v>
      </c>
      <c r="Q47" s="20">
        <f t="shared" si="23"/>
        <v>2</v>
      </c>
      <c r="Y47" s="31"/>
      <c r="AB47" s="25" t="s">
        <v>167</v>
      </c>
      <c r="AC47" s="28" t="s">
        <v>620</v>
      </c>
    </row>
    <row r="48" spans="1:29" x14ac:dyDescent="0.25">
      <c r="B48" s="1" t="s">
        <v>30</v>
      </c>
      <c r="C48" s="1" t="s">
        <v>621</v>
      </c>
      <c r="D48" s="2">
        <v>5</v>
      </c>
      <c r="E48" s="1" t="s">
        <v>59</v>
      </c>
      <c r="F48" s="2">
        <v>5</v>
      </c>
      <c r="G48" s="2">
        <v>2</v>
      </c>
      <c r="H48" s="2">
        <v>8</v>
      </c>
      <c r="I48" s="2">
        <v>1</v>
      </c>
      <c r="J48" s="7">
        <f t="shared" si="16"/>
        <v>2.2000000000000002</v>
      </c>
      <c r="K48" s="7">
        <f t="shared" si="17"/>
        <v>0.4</v>
      </c>
      <c r="L48" s="20">
        <f t="shared" si="18"/>
        <v>1.6</v>
      </c>
      <c r="M48" s="20">
        <f t="shared" si="19"/>
        <v>0.2</v>
      </c>
      <c r="N48" s="20">
        <f t="shared" si="20"/>
        <v>0.6</v>
      </c>
      <c r="O48" s="20">
        <f t="shared" si="21"/>
        <v>3</v>
      </c>
      <c r="P48" s="20">
        <f t="shared" si="22"/>
        <v>0.6</v>
      </c>
      <c r="Q48" s="20">
        <f t="shared" si="23"/>
        <v>2</v>
      </c>
      <c r="S48" s="22" t="s">
        <v>44</v>
      </c>
      <c r="Y48" s="31"/>
    </row>
    <row r="49" spans="1:29" x14ac:dyDescent="0.25">
      <c r="B49" s="1" t="s">
        <v>265</v>
      </c>
      <c r="C49" s="1" t="s">
        <v>622</v>
      </c>
      <c r="D49" s="2">
        <v>8</v>
      </c>
      <c r="E49" s="2" t="s">
        <v>627</v>
      </c>
      <c r="F49" s="2">
        <v>5</v>
      </c>
      <c r="G49" s="2">
        <v>3</v>
      </c>
      <c r="H49" s="2">
        <v>7</v>
      </c>
      <c r="I49" s="2">
        <v>1</v>
      </c>
      <c r="J49" s="7">
        <f t="shared" si="16"/>
        <v>2.2000000000000002</v>
      </c>
      <c r="K49" s="7">
        <f t="shared" si="17"/>
        <v>0.6</v>
      </c>
      <c r="L49" s="20">
        <f t="shared" si="18"/>
        <v>1.4</v>
      </c>
      <c r="M49" s="20">
        <f t="shared" si="19"/>
        <v>0.2</v>
      </c>
      <c r="N49" s="20">
        <f t="shared" si="20"/>
        <v>0.8</v>
      </c>
      <c r="O49" s="20">
        <f t="shared" si="21"/>
        <v>4</v>
      </c>
      <c r="P49" s="20">
        <f t="shared" si="22"/>
        <v>0.5</v>
      </c>
      <c r="Q49" s="20">
        <f t="shared" si="23"/>
        <v>2</v>
      </c>
      <c r="R49" s="21" t="s">
        <v>13</v>
      </c>
      <c r="T49" s="29" t="s">
        <v>584</v>
      </c>
      <c r="V49" s="24" t="s">
        <v>579</v>
      </c>
      <c r="Y49" s="31"/>
    </row>
    <row r="50" spans="1:29" x14ac:dyDescent="0.25">
      <c r="B50" s="1" t="s">
        <v>31</v>
      </c>
      <c r="C50" s="1" t="s">
        <v>621</v>
      </c>
      <c r="D50" s="2">
        <v>6</v>
      </c>
      <c r="E50" s="1" t="s">
        <v>59</v>
      </c>
      <c r="F50" s="2">
        <v>4</v>
      </c>
      <c r="G50" s="2">
        <v>2</v>
      </c>
      <c r="H50" s="2">
        <v>8</v>
      </c>
      <c r="I50" s="2">
        <v>1</v>
      </c>
      <c r="J50" s="7">
        <f t="shared" si="16"/>
        <v>2.75</v>
      </c>
      <c r="K50" s="7">
        <f t="shared" si="17"/>
        <v>0.5</v>
      </c>
      <c r="L50" s="20">
        <f t="shared" si="18"/>
        <v>2</v>
      </c>
      <c r="M50" s="20">
        <f t="shared" si="19"/>
        <v>0.25</v>
      </c>
      <c r="N50" s="20">
        <f t="shared" si="20"/>
        <v>0.75</v>
      </c>
      <c r="O50" s="20">
        <f t="shared" si="21"/>
        <v>3</v>
      </c>
      <c r="P50" s="20">
        <f t="shared" si="22"/>
        <v>0.5</v>
      </c>
      <c r="Q50" s="20">
        <f t="shared" si="23"/>
        <v>2.5</v>
      </c>
      <c r="S50" s="22" t="s">
        <v>45</v>
      </c>
      <c r="Y50" s="31"/>
    </row>
    <row r="51" spans="1:29" x14ac:dyDescent="0.25">
      <c r="B51" s="1" t="s">
        <v>321</v>
      </c>
      <c r="C51" s="1" t="s">
        <v>622</v>
      </c>
      <c r="D51" s="2">
        <v>1</v>
      </c>
      <c r="E51" s="2" t="s">
        <v>627</v>
      </c>
      <c r="F51" s="2">
        <v>5</v>
      </c>
      <c r="G51" s="2">
        <v>2</v>
      </c>
      <c r="H51" s="2">
        <v>7</v>
      </c>
      <c r="I51" s="2">
        <v>1</v>
      </c>
      <c r="J51" s="7">
        <f t="shared" si="16"/>
        <v>2</v>
      </c>
      <c r="K51" s="7">
        <f t="shared" si="17"/>
        <v>0.4</v>
      </c>
      <c r="L51" s="20">
        <f t="shared" si="18"/>
        <v>1.4</v>
      </c>
      <c r="M51" s="20">
        <f t="shared" si="19"/>
        <v>0.2</v>
      </c>
      <c r="N51" s="20">
        <f t="shared" si="20"/>
        <v>0.6</v>
      </c>
      <c r="O51" s="20">
        <f t="shared" si="21"/>
        <v>3</v>
      </c>
      <c r="P51" s="20">
        <f t="shared" si="22"/>
        <v>3</v>
      </c>
      <c r="Q51" s="20">
        <f t="shared" si="23"/>
        <v>1.7999999999999998</v>
      </c>
      <c r="Y51" s="31"/>
    </row>
    <row r="52" spans="1:29" x14ac:dyDescent="0.25">
      <c r="B52" s="1" t="s">
        <v>36</v>
      </c>
      <c r="C52" s="1" t="s">
        <v>621</v>
      </c>
      <c r="D52" s="2">
        <v>6</v>
      </c>
      <c r="E52" s="2" t="s">
        <v>42</v>
      </c>
      <c r="F52" s="2">
        <v>5</v>
      </c>
      <c r="G52" s="2">
        <v>1</v>
      </c>
      <c r="H52" s="2">
        <v>7</v>
      </c>
      <c r="I52" s="2">
        <v>1</v>
      </c>
      <c r="J52" s="7">
        <f t="shared" si="16"/>
        <v>1.8</v>
      </c>
      <c r="K52" s="7">
        <f t="shared" si="17"/>
        <v>0.2</v>
      </c>
      <c r="L52" s="20">
        <f t="shared" si="18"/>
        <v>1.4</v>
      </c>
      <c r="M52" s="20">
        <f t="shared" si="19"/>
        <v>0.2</v>
      </c>
      <c r="N52" s="20">
        <f t="shared" si="20"/>
        <v>0.4</v>
      </c>
      <c r="O52" s="20">
        <f t="shared" si="21"/>
        <v>2</v>
      </c>
      <c r="P52" s="20">
        <f t="shared" si="22"/>
        <v>0.33333333333333331</v>
      </c>
      <c r="Q52" s="20">
        <f t="shared" si="23"/>
        <v>1.5999999999999999</v>
      </c>
      <c r="S52" s="22" t="s">
        <v>97</v>
      </c>
      <c r="Y52" s="31"/>
      <c r="AB52" s="25" t="s">
        <v>552</v>
      </c>
    </row>
    <row r="53" spans="1:29" x14ac:dyDescent="0.25">
      <c r="B53" s="1" t="s">
        <v>117</v>
      </c>
      <c r="C53" s="1" t="s">
        <v>621</v>
      </c>
      <c r="D53" s="2">
        <v>5</v>
      </c>
      <c r="E53" s="2" t="s">
        <v>16</v>
      </c>
      <c r="F53" s="2">
        <v>5</v>
      </c>
      <c r="G53" s="2">
        <v>1</v>
      </c>
      <c r="H53" s="2">
        <v>6</v>
      </c>
      <c r="I53" s="2">
        <v>1</v>
      </c>
      <c r="J53" s="7">
        <f t="shared" si="16"/>
        <v>1.6</v>
      </c>
      <c r="K53" s="7">
        <f t="shared" si="17"/>
        <v>0.2</v>
      </c>
      <c r="L53" s="20">
        <f t="shared" si="18"/>
        <v>1.2</v>
      </c>
      <c r="M53" s="20">
        <f t="shared" si="19"/>
        <v>0.2</v>
      </c>
      <c r="N53" s="20">
        <f t="shared" si="20"/>
        <v>0.4</v>
      </c>
      <c r="O53" s="20">
        <f t="shared" si="21"/>
        <v>2</v>
      </c>
      <c r="P53" s="20">
        <f t="shared" si="22"/>
        <v>0.4</v>
      </c>
      <c r="Q53" s="20">
        <f t="shared" si="23"/>
        <v>1.4</v>
      </c>
      <c r="S53" s="22" t="s">
        <v>118</v>
      </c>
      <c r="Y53" s="31"/>
      <c r="AB53" s="25" t="s">
        <v>562</v>
      </c>
      <c r="AC53" s="28" t="s">
        <v>563</v>
      </c>
    </row>
    <row r="54" spans="1:29" x14ac:dyDescent="0.25">
      <c r="B54" s="1" t="s">
        <v>39</v>
      </c>
      <c r="C54" s="1" t="s">
        <v>621</v>
      </c>
      <c r="D54" s="2">
        <v>5</v>
      </c>
      <c r="E54" s="2" t="s">
        <v>42</v>
      </c>
      <c r="F54" s="2">
        <v>4</v>
      </c>
      <c r="G54" s="2">
        <v>1</v>
      </c>
      <c r="H54" s="2">
        <v>6</v>
      </c>
      <c r="I54" s="2">
        <v>1</v>
      </c>
      <c r="J54" s="7">
        <f t="shared" si="16"/>
        <v>2</v>
      </c>
      <c r="K54" s="7">
        <f t="shared" si="17"/>
        <v>0.25</v>
      </c>
      <c r="L54" s="20">
        <f t="shared" si="18"/>
        <v>1.5</v>
      </c>
      <c r="M54" s="20">
        <f t="shared" si="19"/>
        <v>0.25</v>
      </c>
      <c r="N54" s="20">
        <f t="shared" si="20"/>
        <v>0.5</v>
      </c>
      <c r="O54" s="20">
        <f t="shared" si="21"/>
        <v>2</v>
      </c>
      <c r="P54" s="20">
        <f t="shared" si="22"/>
        <v>0.4</v>
      </c>
      <c r="Q54" s="20">
        <f t="shared" si="23"/>
        <v>1.75</v>
      </c>
      <c r="S54" s="22" t="s">
        <v>557</v>
      </c>
      <c r="Y54" s="31"/>
      <c r="AB54" s="25" t="s">
        <v>84</v>
      </c>
      <c r="AC54" s="28" t="s">
        <v>85</v>
      </c>
    </row>
    <row r="55" spans="1:29" x14ac:dyDescent="0.25">
      <c r="B55" s="1" t="s">
        <v>318</v>
      </c>
      <c r="C55" s="1" t="s">
        <v>167</v>
      </c>
      <c r="D55" s="2">
        <v>1</v>
      </c>
      <c r="E55" s="2" t="s">
        <v>627</v>
      </c>
      <c r="F55" s="2">
        <v>5</v>
      </c>
      <c r="G55" s="2">
        <v>3</v>
      </c>
      <c r="H55" s="2">
        <v>5</v>
      </c>
      <c r="I55" s="2">
        <v>1</v>
      </c>
      <c r="J55" s="7">
        <f t="shared" si="16"/>
        <v>1.8</v>
      </c>
      <c r="K55" s="7">
        <f t="shared" si="17"/>
        <v>0.6</v>
      </c>
      <c r="L55" s="20">
        <f t="shared" si="18"/>
        <v>1</v>
      </c>
      <c r="M55" s="20">
        <f t="shared" si="19"/>
        <v>0.2</v>
      </c>
      <c r="N55" s="20">
        <f t="shared" si="20"/>
        <v>0.8</v>
      </c>
      <c r="O55" s="20">
        <f t="shared" si="21"/>
        <v>4</v>
      </c>
      <c r="P55" s="20">
        <f t="shared" si="22"/>
        <v>4</v>
      </c>
      <c r="Q55" s="20">
        <f t="shared" si="23"/>
        <v>1.6</v>
      </c>
      <c r="Y55" s="31"/>
      <c r="AB55" s="25" t="s">
        <v>95</v>
      </c>
      <c r="AC55" s="28" t="s">
        <v>96</v>
      </c>
    </row>
    <row r="56" spans="1:29" x14ac:dyDescent="0.25">
      <c r="B56" s="1" t="s">
        <v>9</v>
      </c>
      <c r="C56" s="1" t="s">
        <v>621</v>
      </c>
      <c r="D56" s="2">
        <v>6</v>
      </c>
      <c r="E56" s="2" t="s">
        <v>627</v>
      </c>
      <c r="F56" s="2">
        <v>4</v>
      </c>
      <c r="G56" s="2">
        <v>2</v>
      </c>
      <c r="H56" s="2">
        <v>7</v>
      </c>
      <c r="I56" s="2">
        <v>1</v>
      </c>
      <c r="J56" s="7">
        <f t="shared" si="16"/>
        <v>2.5</v>
      </c>
      <c r="K56" s="7">
        <f t="shared" si="17"/>
        <v>0.5</v>
      </c>
      <c r="L56" s="20">
        <f t="shared" si="18"/>
        <v>1.75</v>
      </c>
      <c r="M56" s="20">
        <f t="shared" si="19"/>
        <v>0.25</v>
      </c>
      <c r="N56" s="20">
        <f t="shared" si="20"/>
        <v>0.75</v>
      </c>
      <c r="O56" s="20">
        <f t="shared" si="21"/>
        <v>3</v>
      </c>
      <c r="P56" s="20">
        <f t="shared" si="22"/>
        <v>0.5</v>
      </c>
      <c r="Q56" s="20">
        <f t="shared" si="23"/>
        <v>2.25</v>
      </c>
      <c r="R56" s="21" t="s">
        <v>13</v>
      </c>
      <c r="S56" s="22" t="s">
        <v>14</v>
      </c>
      <c r="Y56" s="31"/>
      <c r="AB56" s="25" t="s">
        <v>82</v>
      </c>
      <c r="AC56" s="28" t="s">
        <v>83</v>
      </c>
    </row>
    <row r="57" spans="1:29" x14ac:dyDescent="0.25">
      <c r="A57" s="1" t="s">
        <v>372</v>
      </c>
      <c r="B57" s="1" t="s">
        <v>273</v>
      </c>
      <c r="C57" s="1" t="s">
        <v>622</v>
      </c>
      <c r="D57" s="2">
        <v>9</v>
      </c>
      <c r="E57" s="2" t="s">
        <v>18</v>
      </c>
      <c r="F57" s="2">
        <v>10</v>
      </c>
      <c r="G57" s="2">
        <v>3</v>
      </c>
      <c r="H57" s="2">
        <v>13</v>
      </c>
      <c r="I57" s="2">
        <v>3</v>
      </c>
      <c r="J57" s="7">
        <f t="shared" si="16"/>
        <v>1.9</v>
      </c>
      <c r="K57" s="7">
        <f t="shared" si="17"/>
        <v>0.3</v>
      </c>
      <c r="L57" s="20">
        <f t="shared" si="18"/>
        <v>1.3</v>
      </c>
      <c r="M57" s="20">
        <f t="shared" si="19"/>
        <v>0.3</v>
      </c>
      <c r="N57" s="20">
        <f t="shared" si="20"/>
        <v>0.6</v>
      </c>
      <c r="O57" s="20">
        <f t="shared" si="21"/>
        <v>6</v>
      </c>
      <c r="P57" s="20">
        <f t="shared" si="22"/>
        <v>0.66666666666666663</v>
      </c>
      <c r="Q57" s="20">
        <f t="shared" si="23"/>
        <v>1.6</v>
      </c>
      <c r="T57" s="29" t="s">
        <v>274</v>
      </c>
      <c r="W57" s="25" t="s">
        <v>47</v>
      </c>
      <c r="Y57" s="31"/>
      <c r="AB57" s="25" t="s">
        <v>88</v>
      </c>
      <c r="AC57" s="28" t="s">
        <v>89</v>
      </c>
    </row>
    <row r="58" spans="1:29" x14ac:dyDescent="0.25">
      <c r="B58" s="1" t="s">
        <v>20</v>
      </c>
      <c r="C58" s="1" t="s">
        <v>621</v>
      </c>
      <c r="D58" s="2">
        <v>8</v>
      </c>
      <c r="E58" s="2" t="s">
        <v>18</v>
      </c>
      <c r="F58" s="2">
        <v>8</v>
      </c>
      <c r="G58" s="2">
        <v>3</v>
      </c>
      <c r="H58" s="2">
        <v>12</v>
      </c>
      <c r="I58" s="2">
        <v>1</v>
      </c>
      <c r="J58" s="7">
        <f t="shared" si="16"/>
        <v>2</v>
      </c>
      <c r="K58" s="7">
        <f t="shared" si="17"/>
        <v>0.375</v>
      </c>
      <c r="L58" s="20">
        <f t="shared" si="18"/>
        <v>1.5</v>
      </c>
      <c r="M58" s="20">
        <f t="shared" si="19"/>
        <v>0.125</v>
      </c>
      <c r="N58" s="20">
        <f t="shared" si="20"/>
        <v>0.5</v>
      </c>
      <c r="O58" s="20">
        <f t="shared" si="21"/>
        <v>4</v>
      </c>
      <c r="P58" s="20">
        <f t="shared" si="22"/>
        <v>0.5</v>
      </c>
      <c r="Q58" s="20">
        <f t="shared" si="23"/>
        <v>1.875</v>
      </c>
      <c r="S58" s="22" t="s">
        <v>55</v>
      </c>
      <c r="V58" s="24" t="s">
        <v>25</v>
      </c>
      <c r="Y58" s="31"/>
      <c r="AB58" s="25" t="s">
        <v>93</v>
      </c>
      <c r="AC58" s="28" t="s">
        <v>94</v>
      </c>
    </row>
    <row r="59" spans="1:29" x14ac:dyDescent="0.25">
      <c r="B59" s="1" t="s">
        <v>316</v>
      </c>
      <c r="C59" s="1" t="s">
        <v>621</v>
      </c>
      <c r="D59" s="2">
        <v>1</v>
      </c>
      <c r="E59" s="2" t="s">
        <v>18</v>
      </c>
      <c r="F59" s="2">
        <v>6</v>
      </c>
      <c r="G59" s="2">
        <v>3</v>
      </c>
      <c r="H59" s="2">
        <v>8</v>
      </c>
      <c r="I59" s="2">
        <v>1</v>
      </c>
      <c r="J59" s="7">
        <f t="shared" si="16"/>
        <v>2</v>
      </c>
      <c r="K59" s="7">
        <f t="shared" si="17"/>
        <v>0.5</v>
      </c>
      <c r="L59" s="20">
        <f t="shared" si="18"/>
        <v>1.3333333333333333</v>
      </c>
      <c r="M59" s="20">
        <f t="shared" si="19"/>
        <v>0.16666666666666666</v>
      </c>
      <c r="N59" s="20">
        <f t="shared" si="20"/>
        <v>0.66666666666666663</v>
      </c>
      <c r="O59" s="20">
        <f t="shared" si="21"/>
        <v>4</v>
      </c>
      <c r="P59" s="20">
        <f t="shared" si="22"/>
        <v>4</v>
      </c>
      <c r="Q59" s="20">
        <f t="shared" si="23"/>
        <v>1.8333333333333333</v>
      </c>
      <c r="Y59" s="31"/>
      <c r="AB59" s="25" t="s">
        <v>234</v>
      </c>
      <c r="AC59" s="28" t="s">
        <v>100</v>
      </c>
    </row>
    <row r="60" spans="1:29" x14ac:dyDescent="0.25">
      <c r="A60" s="1" t="s">
        <v>372</v>
      </c>
      <c r="B60" s="1" t="s">
        <v>49</v>
      </c>
      <c r="C60" s="1" t="s">
        <v>621</v>
      </c>
      <c r="D60" s="2">
        <v>8</v>
      </c>
      <c r="E60" s="2" t="s">
        <v>627</v>
      </c>
      <c r="F60" s="2">
        <v>6</v>
      </c>
      <c r="G60" s="2">
        <v>3</v>
      </c>
      <c r="H60" s="2">
        <v>7</v>
      </c>
      <c r="I60" s="2">
        <v>1</v>
      </c>
      <c r="J60" s="7">
        <f t="shared" si="16"/>
        <v>1.8333333333333333</v>
      </c>
      <c r="K60" s="7">
        <f t="shared" si="17"/>
        <v>0.5</v>
      </c>
      <c r="L60" s="20">
        <f t="shared" si="18"/>
        <v>1.1666666666666667</v>
      </c>
      <c r="M60" s="20">
        <f t="shared" si="19"/>
        <v>0.16666666666666666</v>
      </c>
      <c r="N60" s="20">
        <f t="shared" si="20"/>
        <v>0.66666666666666663</v>
      </c>
      <c r="O60" s="20">
        <f t="shared" si="21"/>
        <v>4</v>
      </c>
      <c r="P60" s="20">
        <f t="shared" si="22"/>
        <v>0.5</v>
      </c>
      <c r="Q60" s="20">
        <f t="shared" si="23"/>
        <v>1.6666666666666667</v>
      </c>
      <c r="S60" s="22" t="s">
        <v>52</v>
      </c>
      <c r="W60" s="25" t="s">
        <v>54</v>
      </c>
      <c r="Y60" s="31"/>
      <c r="AB60" s="25" t="s">
        <v>577</v>
      </c>
      <c r="AC60" s="28" t="s">
        <v>578</v>
      </c>
    </row>
    <row r="61" spans="1:29" x14ac:dyDescent="0.25">
      <c r="B61" s="1" t="s">
        <v>215</v>
      </c>
      <c r="C61" s="1" t="s">
        <v>167</v>
      </c>
      <c r="D61" s="2">
        <v>6</v>
      </c>
      <c r="E61" s="2" t="s">
        <v>59</v>
      </c>
      <c r="F61" s="2">
        <v>4</v>
      </c>
      <c r="G61" s="2">
        <v>2</v>
      </c>
      <c r="H61" s="2">
        <v>6</v>
      </c>
      <c r="I61" s="2">
        <v>0</v>
      </c>
      <c r="J61" s="7">
        <f t="shared" si="16"/>
        <v>2</v>
      </c>
      <c r="K61" s="7">
        <f t="shared" si="17"/>
        <v>0.5</v>
      </c>
      <c r="L61" s="20">
        <f t="shared" si="18"/>
        <v>1.5</v>
      </c>
      <c r="M61" s="20">
        <f t="shared" si="19"/>
        <v>0</v>
      </c>
      <c r="N61" s="20">
        <f t="shared" si="20"/>
        <v>0.5</v>
      </c>
      <c r="O61" s="20">
        <f t="shared" si="21"/>
        <v>2</v>
      </c>
      <c r="P61" s="20">
        <f t="shared" si="22"/>
        <v>0.33333333333333331</v>
      </c>
      <c r="Q61" s="20">
        <f t="shared" si="23"/>
        <v>2</v>
      </c>
      <c r="R61" s="21" t="s">
        <v>7</v>
      </c>
      <c r="U61" s="42" t="s">
        <v>122</v>
      </c>
      <c r="Y61" s="31"/>
      <c r="AB61" s="25" t="s">
        <v>580</v>
      </c>
      <c r="AC61" s="28" t="s">
        <v>581</v>
      </c>
    </row>
    <row r="62" spans="1:29" x14ac:dyDescent="0.25">
      <c r="B62" s="1" t="s">
        <v>235</v>
      </c>
      <c r="C62" s="1" t="s">
        <v>167</v>
      </c>
      <c r="D62" s="2">
        <v>8</v>
      </c>
      <c r="E62" s="2" t="s">
        <v>42</v>
      </c>
      <c r="F62" s="2">
        <v>6</v>
      </c>
      <c r="G62" s="2">
        <v>2</v>
      </c>
      <c r="H62" s="2">
        <v>6</v>
      </c>
      <c r="I62" s="2">
        <v>1</v>
      </c>
      <c r="J62" s="7">
        <f t="shared" ref="J62:J93" si="24">(G62+H62+I62)/F62</f>
        <v>1.5</v>
      </c>
      <c r="K62" s="7">
        <f t="shared" ref="K62:K93" si="25">G62/F62</f>
        <v>0.33333333333333331</v>
      </c>
      <c r="L62" s="20">
        <f t="shared" ref="L62:L93" si="26">H62/F62</f>
        <v>1</v>
      </c>
      <c r="M62" s="20">
        <f t="shared" ref="M62:M93" si="27">I62/F62</f>
        <v>0.16666666666666666</v>
      </c>
      <c r="N62" s="20">
        <f t="shared" ref="N62:N93" si="28">(G62+I62)/F62</f>
        <v>0.5</v>
      </c>
      <c r="O62" s="20">
        <f t="shared" ref="O62:O93" si="29">G62+I62</f>
        <v>3</v>
      </c>
      <c r="P62" s="20">
        <f t="shared" ref="P62:P93" si="30">O62/D62</f>
        <v>0.375</v>
      </c>
      <c r="Q62" s="20">
        <f t="shared" ref="Q62:Q93" si="31">K62+L62</f>
        <v>1.3333333333333333</v>
      </c>
      <c r="U62" s="42" t="s">
        <v>236</v>
      </c>
      <c r="V62" s="24" t="s">
        <v>237</v>
      </c>
      <c r="Y62" s="31"/>
      <c r="AB62" s="25" t="s">
        <v>531</v>
      </c>
      <c r="AC62" s="28" t="s">
        <v>589</v>
      </c>
    </row>
    <row r="63" spans="1:29" x14ac:dyDescent="0.25">
      <c r="B63" s="1" t="s">
        <v>281</v>
      </c>
      <c r="C63" s="1" t="s">
        <v>622</v>
      </c>
      <c r="D63" s="2">
        <v>6</v>
      </c>
      <c r="E63" s="2" t="s">
        <v>59</v>
      </c>
      <c r="F63" s="2">
        <v>6</v>
      </c>
      <c r="G63" s="2">
        <v>2</v>
      </c>
      <c r="H63" s="2">
        <v>8</v>
      </c>
      <c r="I63" s="2">
        <v>1</v>
      </c>
      <c r="J63" s="7">
        <f t="shared" si="24"/>
        <v>1.8333333333333333</v>
      </c>
      <c r="K63" s="7">
        <f t="shared" si="25"/>
        <v>0.33333333333333331</v>
      </c>
      <c r="L63" s="20">
        <f t="shared" si="26"/>
        <v>1.3333333333333333</v>
      </c>
      <c r="M63" s="20">
        <f t="shared" si="27"/>
        <v>0.16666666666666666</v>
      </c>
      <c r="N63" s="20">
        <f t="shared" si="28"/>
        <v>0.5</v>
      </c>
      <c r="O63" s="20">
        <f t="shared" si="29"/>
        <v>3</v>
      </c>
      <c r="P63" s="20">
        <f t="shared" si="30"/>
        <v>0.5</v>
      </c>
      <c r="Q63" s="20">
        <f t="shared" si="31"/>
        <v>1.6666666666666665</v>
      </c>
      <c r="R63" s="21" t="s">
        <v>43</v>
      </c>
      <c r="T63" s="29" t="s">
        <v>282</v>
      </c>
      <c r="Y63" s="31"/>
      <c r="AB63" s="25" t="s">
        <v>653</v>
      </c>
      <c r="AC63" s="28" t="s">
        <v>654</v>
      </c>
    </row>
    <row r="64" spans="1:29" x14ac:dyDescent="0.25">
      <c r="B64" s="1" t="s">
        <v>33</v>
      </c>
      <c r="C64" s="1" t="s">
        <v>621</v>
      </c>
      <c r="D64" s="2">
        <v>8</v>
      </c>
      <c r="E64" s="1" t="s">
        <v>59</v>
      </c>
      <c r="F64" s="2">
        <v>7</v>
      </c>
      <c r="G64" s="2">
        <v>3</v>
      </c>
      <c r="H64" s="2">
        <v>10</v>
      </c>
      <c r="I64" s="2">
        <v>1</v>
      </c>
      <c r="J64" s="7">
        <f t="shared" si="24"/>
        <v>2</v>
      </c>
      <c r="K64" s="7">
        <f t="shared" si="25"/>
        <v>0.42857142857142855</v>
      </c>
      <c r="L64" s="20">
        <f t="shared" si="26"/>
        <v>1.4285714285714286</v>
      </c>
      <c r="M64" s="20">
        <f t="shared" si="27"/>
        <v>0.14285714285714285</v>
      </c>
      <c r="N64" s="20">
        <f t="shared" si="28"/>
        <v>0.5714285714285714</v>
      </c>
      <c r="O64" s="20">
        <f t="shared" si="29"/>
        <v>4</v>
      </c>
      <c r="P64" s="20">
        <f t="shared" si="30"/>
        <v>0.5</v>
      </c>
      <c r="Q64" s="20">
        <f t="shared" si="31"/>
        <v>1.8571428571428572</v>
      </c>
      <c r="S64" s="22" t="s">
        <v>696</v>
      </c>
      <c r="V64" s="24" t="s">
        <v>41</v>
      </c>
      <c r="Y64" s="31"/>
    </row>
    <row r="65" spans="1:25" x14ac:dyDescent="0.25">
      <c r="B65" s="1" t="s">
        <v>294</v>
      </c>
      <c r="C65" s="1" t="s">
        <v>622</v>
      </c>
      <c r="D65" s="2">
        <v>7</v>
      </c>
      <c r="E65" s="2" t="s">
        <v>42</v>
      </c>
      <c r="F65" s="2">
        <v>6</v>
      </c>
      <c r="G65" s="2">
        <v>2</v>
      </c>
      <c r="H65" s="2">
        <v>5</v>
      </c>
      <c r="I65" s="2">
        <v>1</v>
      </c>
      <c r="J65" s="7">
        <f t="shared" si="24"/>
        <v>1.3333333333333333</v>
      </c>
      <c r="K65" s="7">
        <f t="shared" si="25"/>
        <v>0.33333333333333331</v>
      </c>
      <c r="L65" s="20">
        <f t="shared" si="26"/>
        <v>0.83333333333333337</v>
      </c>
      <c r="M65" s="20">
        <f t="shared" si="27"/>
        <v>0.16666666666666666</v>
      </c>
      <c r="N65" s="20">
        <f t="shared" si="28"/>
        <v>0.5</v>
      </c>
      <c r="O65" s="20">
        <f t="shared" si="29"/>
        <v>3</v>
      </c>
      <c r="P65" s="20">
        <f t="shared" si="30"/>
        <v>0.42857142857142855</v>
      </c>
      <c r="Q65" s="20">
        <f t="shared" si="31"/>
        <v>1.1666666666666667</v>
      </c>
      <c r="T65" s="29" t="s">
        <v>295</v>
      </c>
      <c r="Y65" s="31"/>
    </row>
    <row r="66" spans="1:25" x14ac:dyDescent="0.25">
      <c r="B66" s="1" t="s">
        <v>293</v>
      </c>
      <c r="C66" s="1" t="s">
        <v>622</v>
      </c>
      <c r="D66" s="2">
        <v>6</v>
      </c>
      <c r="E66" s="2" t="s">
        <v>42</v>
      </c>
      <c r="F66" s="2">
        <v>6</v>
      </c>
      <c r="G66" s="2">
        <v>2</v>
      </c>
      <c r="H66" s="2">
        <v>5</v>
      </c>
      <c r="I66" s="2">
        <v>1</v>
      </c>
      <c r="J66" s="7">
        <f t="shared" si="24"/>
        <v>1.3333333333333333</v>
      </c>
      <c r="K66" s="7">
        <f t="shared" si="25"/>
        <v>0.33333333333333331</v>
      </c>
      <c r="L66" s="20">
        <f t="shared" si="26"/>
        <v>0.83333333333333337</v>
      </c>
      <c r="M66" s="20">
        <f t="shared" si="27"/>
        <v>0.16666666666666666</v>
      </c>
      <c r="N66" s="20">
        <f t="shared" si="28"/>
        <v>0.5</v>
      </c>
      <c r="O66" s="20">
        <f t="shared" si="29"/>
        <v>3</v>
      </c>
      <c r="P66" s="20">
        <f t="shared" si="30"/>
        <v>0.5</v>
      </c>
      <c r="Q66" s="20">
        <f t="shared" si="31"/>
        <v>1.1666666666666667</v>
      </c>
      <c r="T66" s="29" t="s">
        <v>43</v>
      </c>
      <c r="Y66" s="31"/>
    </row>
    <row r="67" spans="1:25" x14ac:dyDescent="0.25">
      <c r="B67" s="1" t="s">
        <v>313</v>
      </c>
      <c r="C67" s="1" t="s">
        <v>622</v>
      </c>
      <c r="D67" s="2">
        <v>8</v>
      </c>
      <c r="E67" s="2" t="s">
        <v>42</v>
      </c>
      <c r="F67" s="2">
        <v>6</v>
      </c>
      <c r="G67" s="2">
        <v>2</v>
      </c>
      <c r="H67" s="2">
        <v>5</v>
      </c>
      <c r="I67" s="2">
        <v>1</v>
      </c>
      <c r="J67" s="7">
        <f t="shared" si="24"/>
        <v>1.3333333333333333</v>
      </c>
      <c r="K67" s="7">
        <f t="shared" si="25"/>
        <v>0.33333333333333331</v>
      </c>
      <c r="L67" s="20">
        <f t="shared" si="26"/>
        <v>0.83333333333333337</v>
      </c>
      <c r="M67" s="20">
        <f t="shared" si="27"/>
        <v>0.16666666666666666</v>
      </c>
      <c r="N67" s="20">
        <f t="shared" si="28"/>
        <v>0.5</v>
      </c>
      <c r="O67" s="20">
        <f t="shared" si="29"/>
        <v>3</v>
      </c>
      <c r="P67" s="20">
        <f t="shared" si="30"/>
        <v>0.375</v>
      </c>
      <c r="Q67" s="20">
        <f t="shared" si="31"/>
        <v>1.1666666666666667</v>
      </c>
      <c r="T67" s="29" t="s">
        <v>314</v>
      </c>
      <c r="W67" s="25" t="s">
        <v>558</v>
      </c>
      <c r="Y67" s="31"/>
    </row>
    <row r="68" spans="1:25" x14ac:dyDescent="0.25">
      <c r="B68" s="1" t="s">
        <v>290</v>
      </c>
      <c r="C68" s="1" t="s">
        <v>622</v>
      </c>
      <c r="D68" s="2">
        <v>4</v>
      </c>
      <c r="E68" s="2" t="s">
        <v>42</v>
      </c>
      <c r="F68" s="2">
        <v>6</v>
      </c>
      <c r="G68" s="2">
        <v>1</v>
      </c>
      <c r="H68" s="2">
        <v>5</v>
      </c>
      <c r="I68" s="2">
        <v>1</v>
      </c>
      <c r="J68" s="7">
        <f t="shared" si="24"/>
        <v>1.1666666666666667</v>
      </c>
      <c r="K68" s="7">
        <f t="shared" si="25"/>
        <v>0.16666666666666666</v>
      </c>
      <c r="L68" s="20">
        <f t="shared" si="26"/>
        <v>0.83333333333333337</v>
      </c>
      <c r="M68" s="20">
        <f t="shared" si="27"/>
        <v>0.16666666666666666</v>
      </c>
      <c r="N68" s="20">
        <f t="shared" si="28"/>
        <v>0.33333333333333331</v>
      </c>
      <c r="O68" s="20">
        <f t="shared" si="29"/>
        <v>2</v>
      </c>
      <c r="P68" s="20">
        <f t="shared" si="30"/>
        <v>0.5</v>
      </c>
      <c r="Q68" s="20">
        <f t="shared" si="31"/>
        <v>1</v>
      </c>
      <c r="T68" s="29" t="s">
        <v>291</v>
      </c>
      <c r="Y68" s="31"/>
    </row>
    <row r="69" spans="1:25" x14ac:dyDescent="0.25">
      <c r="B69" s="1" t="s">
        <v>34</v>
      </c>
      <c r="C69" s="1" t="s">
        <v>621</v>
      </c>
      <c r="D69" s="2">
        <v>3</v>
      </c>
      <c r="E69" s="2" t="s">
        <v>42</v>
      </c>
      <c r="F69" s="2">
        <v>6</v>
      </c>
      <c r="G69" s="2">
        <v>1</v>
      </c>
      <c r="H69" s="2">
        <v>4</v>
      </c>
      <c r="I69" s="2">
        <v>1</v>
      </c>
      <c r="J69" s="7">
        <f t="shared" si="24"/>
        <v>1</v>
      </c>
      <c r="K69" s="7">
        <f t="shared" si="25"/>
        <v>0.16666666666666666</v>
      </c>
      <c r="L69" s="20">
        <f t="shared" si="26"/>
        <v>0.66666666666666663</v>
      </c>
      <c r="M69" s="20">
        <f t="shared" si="27"/>
        <v>0.16666666666666666</v>
      </c>
      <c r="N69" s="20">
        <f t="shared" si="28"/>
        <v>0.33333333333333331</v>
      </c>
      <c r="O69" s="20">
        <f t="shared" si="29"/>
        <v>2</v>
      </c>
      <c r="P69" s="20">
        <f t="shared" si="30"/>
        <v>0.66666666666666663</v>
      </c>
      <c r="Q69" s="20">
        <f t="shared" si="31"/>
        <v>0.83333333333333326</v>
      </c>
      <c r="S69" s="22" t="s">
        <v>92</v>
      </c>
      <c r="Y69" s="31"/>
    </row>
    <row r="70" spans="1:25" x14ac:dyDescent="0.25">
      <c r="B70" s="1" t="s">
        <v>50</v>
      </c>
      <c r="C70" s="1" t="s">
        <v>621</v>
      </c>
      <c r="D70" s="2">
        <v>9</v>
      </c>
      <c r="E70" s="2" t="s">
        <v>627</v>
      </c>
      <c r="F70" s="2">
        <v>7</v>
      </c>
      <c r="G70" s="2">
        <v>3</v>
      </c>
      <c r="H70" s="2">
        <v>8</v>
      </c>
      <c r="I70" s="2">
        <v>1</v>
      </c>
      <c r="J70" s="7">
        <f t="shared" si="24"/>
        <v>1.7142857142857142</v>
      </c>
      <c r="K70" s="7">
        <f t="shared" si="25"/>
        <v>0.42857142857142855</v>
      </c>
      <c r="L70" s="20">
        <f t="shared" si="26"/>
        <v>1.1428571428571428</v>
      </c>
      <c r="M70" s="20">
        <f t="shared" si="27"/>
        <v>0.14285714285714285</v>
      </c>
      <c r="N70" s="20">
        <f t="shared" si="28"/>
        <v>0.5714285714285714</v>
      </c>
      <c r="O70" s="20">
        <f t="shared" si="29"/>
        <v>4</v>
      </c>
      <c r="P70" s="20">
        <f t="shared" si="30"/>
        <v>0.44444444444444442</v>
      </c>
      <c r="Q70" s="20">
        <f t="shared" si="31"/>
        <v>1.5714285714285714</v>
      </c>
      <c r="R70" s="21" t="s">
        <v>43</v>
      </c>
      <c r="S70" s="22" t="s">
        <v>19</v>
      </c>
      <c r="X70" s="26" t="s">
        <v>55</v>
      </c>
      <c r="Y70" s="31"/>
    </row>
    <row r="71" spans="1:25" x14ac:dyDescent="0.25">
      <c r="B71" s="1" t="s">
        <v>306</v>
      </c>
      <c r="C71" s="1" t="s">
        <v>622</v>
      </c>
      <c r="D71" s="2">
        <v>8</v>
      </c>
      <c r="E71" s="2" t="s">
        <v>18</v>
      </c>
      <c r="F71" s="2">
        <v>8</v>
      </c>
      <c r="G71" s="2">
        <v>4</v>
      </c>
      <c r="H71" s="2">
        <v>11</v>
      </c>
      <c r="I71" s="2">
        <v>1</v>
      </c>
      <c r="J71" s="7">
        <f t="shared" si="24"/>
        <v>2</v>
      </c>
      <c r="K71" s="7">
        <f t="shared" si="25"/>
        <v>0.5</v>
      </c>
      <c r="L71" s="20">
        <f t="shared" si="26"/>
        <v>1.375</v>
      </c>
      <c r="M71" s="20">
        <f t="shared" si="27"/>
        <v>0.125</v>
      </c>
      <c r="N71" s="20">
        <f t="shared" si="28"/>
        <v>0.625</v>
      </c>
      <c r="O71" s="20">
        <f t="shared" si="29"/>
        <v>5</v>
      </c>
      <c r="P71" s="20">
        <f t="shared" si="30"/>
        <v>0.625</v>
      </c>
      <c r="Q71" s="20">
        <f t="shared" si="31"/>
        <v>1.875</v>
      </c>
      <c r="R71" s="21" t="s">
        <v>307</v>
      </c>
      <c r="V71" s="24" t="s">
        <v>308</v>
      </c>
      <c r="W71" s="25" t="s">
        <v>41</v>
      </c>
      <c r="Y71" s="31"/>
    </row>
    <row r="72" spans="1:25" x14ac:dyDescent="0.25">
      <c r="B72" s="1" t="s">
        <v>270</v>
      </c>
      <c r="C72" s="1" t="s">
        <v>622</v>
      </c>
      <c r="D72" s="2">
        <v>7</v>
      </c>
      <c r="E72" s="2" t="s">
        <v>18</v>
      </c>
      <c r="F72" s="2">
        <v>7</v>
      </c>
      <c r="G72" s="2">
        <v>3</v>
      </c>
      <c r="H72" s="2">
        <v>9</v>
      </c>
      <c r="I72" s="2">
        <v>1</v>
      </c>
      <c r="J72" s="7">
        <f t="shared" si="24"/>
        <v>1.8571428571428572</v>
      </c>
      <c r="K72" s="7">
        <f t="shared" si="25"/>
        <v>0.42857142857142855</v>
      </c>
      <c r="L72" s="20">
        <f t="shared" si="26"/>
        <v>1.2857142857142858</v>
      </c>
      <c r="M72" s="20">
        <f t="shared" si="27"/>
        <v>0.14285714285714285</v>
      </c>
      <c r="N72" s="20">
        <f t="shared" si="28"/>
        <v>0.5714285714285714</v>
      </c>
      <c r="O72" s="20">
        <f t="shared" si="29"/>
        <v>4</v>
      </c>
      <c r="P72" s="20">
        <f t="shared" si="30"/>
        <v>0.5714285714285714</v>
      </c>
      <c r="Q72" s="20">
        <f t="shared" si="31"/>
        <v>1.7142857142857144</v>
      </c>
      <c r="T72" s="29" t="s">
        <v>271</v>
      </c>
      <c r="Y72" s="31"/>
    </row>
    <row r="73" spans="1:25" x14ac:dyDescent="0.25">
      <c r="B73" s="1" t="s">
        <v>284</v>
      </c>
      <c r="C73" s="1" t="s">
        <v>622</v>
      </c>
      <c r="D73" s="2">
        <v>8</v>
      </c>
      <c r="E73" s="2" t="s">
        <v>59</v>
      </c>
      <c r="F73" s="2">
        <v>8</v>
      </c>
      <c r="G73" s="2">
        <v>3</v>
      </c>
      <c r="H73" s="2">
        <v>8</v>
      </c>
      <c r="I73" s="2">
        <v>1</v>
      </c>
      <c r="J73" s="7">
        <f t="shared" si="24"/>
        <v>1.5</v>
      </c>
      <c r="K73" s="7">
        <f t="shared" si="25"/>
        <v>0.375</v>
      </c>
      <c r="L73" s="20">
        <f t="shared" si="26"/>
        <v>1</v>
      </c>
      <c r="M73" s="20">
        <f t="shared" si="27"/>
        <v>0.125</v>
      </c>
      <c r="N73" s="20">
        <f t="shared" si="28"/>
        <v>0.5</v>
      </c>
      <c r="O73" s="20">
        <f t="shared" si="29"/>
        <v>4</v>
      </c>
      <c r="P73" s="20">
        <f t="shared" si="30"/>
        <v>0.5</v>
      </c>
      <c r="Q73" s="20">
        <f t="shared" si="31"/>
        <v>1.375</v>
      </c>
      <c r="T73" s="29" t="s">
        <v>285</v>
      </c>
      <c r="V73" s="24" t="s">
        <v>585</v>
      </c>
      <c r="Y73" s="31"/>
    </row>
    <row r="74" spans="1:25" x14ac:dyDescent="0.25">
      <c r="B74" s="1" t="s">
        <v>3</v>
      </c>
      <c r="C74" s="1" t="s">
        <v>621</v>
      </c>
      <c r="D74" s="2">
        <v>3</v>
      </c>
      <c r="E74" s="2" t="s">
        <v>16</v>
      </c>
      <c r="F74" s="2">
        <v>3</v>
      </c>
      <c r="G74" s="2">
        <v>2</v>
      </c>
      <c r="H74" s="2">
        <v>4</v>
      </c>
      <c r="I74" s="2">
        <v>0</v>
      </c>
      <c r="J74" s="7">
        <f t="shared" si="24"/>
        <v>2</v>
      </c>
      <c r="K74" s="7">
        <f t="shared" si="25"/>
        <v>0.66666666666666663</v>
      </c>
      <c r="L74" s="20">
        <f t="shared" si="26"/>
        <v>1.3333333333333333</v>
      </c>
      <c r="M74" s="20">
        <f t="shared" si="27"/>
        <v>0</v>
      </c>
      <c r="N74" s="20">
        <f t="shared" si="28"/>
        <v>0.66666666666666663</v>
      </c>
      <c r="O74" s="20">
        <f t="shared" si="29"/>
        <v>2</v>
      </c>
      <c r="P74" s="20">
        <f t="shared" si="30"/>
        <v>0.66666666666666663</v>
      </c>
      <c r="Q74" s="20">
        <f t="shared" si="31"/>
        <v>2</v>
      </c>
      <c r="S74" s="22" t="s">
        <v>19</v>
      </c>
      <c r="Y74" s="31"/>
    </row>
    <row r="75" spans="1:25" x14ac:dyDescent="0.25">
      <c r="A75" s="1" t="s">
        <v>372</v>
      </c>
      <c r="B75" s="1" t="s">
        <v>238</v>
      </c>
      <c r="C75" s="1" t="s">
        <v>167</v>
      </c>
      <c r="D75" s="2">
        <v>9</v>
      </c>
      <c r="E75" s="2" t="s">
        <v>42</v>
      </c>
      <c r="F75" s="2">
        <v>7</v>
      </c>
      <c r="G75" s="2">
        <v>4</v>
      </c>
      <c r="H75" s="2">
        <v>7</v>
      </c>
      <c r="I75" s="2">
        <v>1</v>
      </c>
      <c r="J75" s="7">
        <f t="shared" si="24"/>
        <v>1.7142857142857142</v>
      </c>
      <c r="K75" s="7">
        <f t="shared" si="25"/>
        <v>0.5714285714285714</v>
      </c>
      <c r="L75" s="20">
        <f t="shared" si="26"/>
        <v>1</v>
      </c>
      <c r="M75" s="20">
        <f t="shared" si="27"/>
        <v>0.14285714285714285</v>
      </c>
      <c r="N75" s="20">
        <f t="shared" si="28"/>
        <v>0.7142857142857143</v>
      </c>
      <c r="O75" s="20">
        <f t="shared" si="29"/>
        <v>5</v>
      </c>
      <c r="P75" s="20">
        <f t="shared" si="30"/>
        <v>0.55555555555555558</v>
      </c>
      <c r="Q75" s="20">
        <f t="shared" si="31"/>
        <v>1.5714285714285714</v>
      </c>
      <c r="U75" s="42" t="s">
        <v>596</v>
      </c>
      <c r="W75" s="25" t="s">
        <v>47</v>
      </c>
      <c r="Y75" s="31"/>
    </row>
    <row r="76" spans="1:25" x14ac:dyDescent="0.25">
      <c r="B76" s="1" t="s">
        <v>195</v>
      </c>
      <c r="C76" s="1" t="s">
        <v>167</v>
      </c>
      <c r="D76" s="2">
        <v>9</v>
      </c>
      <c r="E76" s="2" t="s">
        <v>18</v>
      </c>
      <c r="F76" s="2">
        <v>8</v>
      </c>
      <c r="G76" s="2">
        <v>4</v>
      </c>
      <c r="H76" s="2">
        <v>17</v>
      </c>
      <c r="I76" s="2">
        <v>1</v>
      </c>
      <c r="J76" s="7">
        <f t="shared" si="24"/>
        <v>2.75</v>
      </c>
      <c r="K76" s="7">
        <f t="shared" si="25"/>
        <v>0.5</v>
      </c>
      <c r="L76" s="20">
        <f t="shared" si="26"/>
        <v>2.125</v>
      </c>
      <c r="M76" s="20">
        <f t="shared" si="27"/>
        <v>0.125</v>
      </c>
      <c r="N76" s="20">
        <f t="shared" si="28"/>
        <v>0.625</v>
      </c>
      <c r="O76" s="20">
        <f t="shared" si="29"/>
        <v>5</v>
      </c>
      <c r="P76" s="20">
        <f t="shared" si="30"/>
        <v>0.55555555555555558</v>
      </c>
      <c r="Q76" s="20">
        <f t="shared" si="31"/>
        <v>2.625</v>
      </c>
      <c r="R76" s="21" t="s">
        <v>196</v>
      </c>
      <c r="U76" s="42" t="s">
        <v>197</v>
      </c>
      <c r="X76" s="26" t="s">
        <v>198</v>
      </c>
      <c r="Y76" s="31"/>
    </row>
    <row r="77" spans="1:25" x14ac:dyDescent="0.25">
      <c r="B77" s="1" t="s">
        <v>263</v>
      </c>
      <c r="C77" s="1" t="s">
        <v>622</v>
      </c>
      <c r="D77" s="2">
        <v>6</v>
      </c>
      <c r="E77" s="2" t="s">
        <v>627</v>
      </c>
      <c r="F77" s="2">
        <v>4</v>
      </c>
      <c r="G77" s="2">
        <v>2</v>
      </c>
      <c r="H77" s="2">
        <v>3</v>
      </c>
      <c r="I77" s="2">
        <v>0</v>
      </c>
      <c r="J77" s="7">
        <f t="shared" si="24"/>
        <v>1.25</v>
      </c>
      <c r="K77" s="7">
        <f t="shared" si="25"/>
        <v>0.5</v>
      </c>
      <c r="L77" s="20">
        <f t="shared" si="26"/>
        <v>0.75</v>
      </c>
      <c r="M77" s="20">
        <f t="shared" si="27"/>
        <v>0</v>
      </c>
      <c r="N77" s="20">
        <f t="shared" si="28"/>
        <v>0.5</v>
      </c>
      <c r="O77" s="20">
        <f t="shared" si="29"/>
        <v>2</v>
      </c>
      <c r="P77" s="20">
        <f t="shared" si="30"/>
        <v>0.33333333333333331</v>
      </c>
      <c r="Q77" s="20">
        <f t="shared" si="31"/>
        <v>1.25</v>
      </c>
      <c r="R77" s="21" t="s">
        <v>264</v>
      </c>
      <c r="T77" s="29" t="s">
        <v>7</v>
      </c>
      <c r="Y77" s="31"/>
    </row>
    <row r="78" spans="1:25" x14ac:dyDescent="0.25">
      <c r="B78" s="1" t="s">
        <v>107</v>
      </c>
      <c r="C78" s="1" t="s">
        <v>621</v>
      </c>
      <c r="D78" s="2">
        <v>8</v>
      </c>
      <c r="E78" s="2" t="s">
        <v>18</v>
      </c>
      <c r="F78" s="2">
        <v>8</v>
      </c>
      <c r="G78" s="2">
        <v>4</v>
      </c>
      <c r="H78" s="2">
        <v>14</v>
      </c>
      <c r="I78" s="2">
        <v>0</v>
      </c>
      <c r="J78" s="7">
        <f t="shared" si="24"/>
        <v>2.25</v>
      </c>
      <c r="K78" s="7">
        <f t="shared" si="25"/>
        <v>0.5</v>
      </c>
      <c r="L78" s="20">
        <f t="shared" si="26"/>
        <v>1.75</v>
      </c>
      <c r="M78" s="20">
        <f t="shared" si="27"/>
        <v>0</v>
      </c>
      <c r="N78" s="20">
        <f t="shared" si="28"/>
        <v>0.5</v>
      </c>
      <c r="O78" s="20">
        <f t="shared" si="29"/>
        <v>4</v>
      </c>
      <c r="P78" s="20">
        <f t="shared" si="30"/>
        <v>0.5</v>
      </c>
      <c r="Q78" s="20">
        <f t="shared" si="31"/>
        <v>2.25</v>
      </c>
      <c r="V78" s="24" t="s">
        <v>110</v>
      </c>
      <c r="W78" s="25" t="s">
        <v>109</v>
      </c>
      <c r="X78" s="26" t="s">
        <v>629</v>
      </c>
      <c r="Y78" s="31"/>
    </row>
    <row r="79" spans="1:25" x14ac:dyDescent="0.25">
      <c r="A79" s="1" t="s">
        <v>372</v>
      </c>
      <c r="B79" s="1" t="s">
        <v>27</v>
      </c>
      <c r="C79" s="1" t="s">
        <v>621</v>
      </c>
      <c r="D79" s="2">
        <v>10</v>
      </c>
      <c r="E79" s="2" t="s">
        <v>18</v>
      </c>
      <c r="F79" s="2">
        <v>12</v>
      </c>
      <c r="G79" s="2">
        <v>4</v>
      </c>
      <c r="H79" s="2">
        <v>19</v>
      </c>
      <c r="I79" s="2">
        <v>0</v>
      </c>
      <c r="J79" s="7">
        <f t="shared" si="24"/>
        <v>1.9166666666666667</v>
      </c>
      <c r="K79" s="7">
        <f t="shared" si="25"/>
        <v>0.33333333333333331</v>
      </c>
      <c r="L79" s="20">
        <f t="shared" si="26"/>
        <v>1.5833333333333333</v>
      </c>
      <c r="M79" s="20">
        <f t="shared" si="27"/>
        <v>0</v>
      </c>
      <c r="N79" s="20">
        <f t="shared" si="28"/>
        <v>0.33333333333333331</v>
      </c>
      <c r="O79" s="20">
        <f t="shared" si="29"/>
        <v>4</v>
      </c>
      <c r="P79" s="20">
        <f t="shared" si="30"/>
        <v>0.4</v>
      </c>
      <c r="Q79" s="20">
        <f t="shared" si="31"/>
        <v>1.9166666666666665</v>
      </c>
      <c r="R79" s="21" t="s">
        <v>86</v>
      </c>
      <c r="S79" s="22" t="s">
        <v>53</v>
      </c>
      <c r="W79" s="25" t="s">
        <v>40</v>
      </c>
      <c r="Y79" s="31"/>
    </row>
    <row r="80" spans="1:25" x14ac:dyDescent="0.25">
      <c r="B80" s="1" t="s">
        <v>301</v>
      </c>
      <c r="C80" s="1" t="s">
        <v>622</v>
      </c>
      <c r="D80" s="2">
        <v>8</v>
      </c>
      <c r="E80" s="2" t="s">
        <v>18</v>
      </c>
      <c r="F80" s="2">
        <v>5</v>
      </c>
      <c r="G80" s="2">
        <v>3</v>
      </c>
      <c r="H80" s="2">
        <v>7</v>
      </c>
      <c r="I80" s="2">
        <v>0</v>
      </c>
      <c r="J80" s="7">
        <f t="shared" si="24"/>
        <v>2</v>
      </c>
      <c r="K80" s="7">
        <f t="shared" si="25"/>
        <v>0.6</v>
      </c>
      <c r="L80" s="20">
        <f t="shared" si="26"/>
        <v>1.4</v>
      </c>
      <c r="M80" s="20">
        <f t="shared" si="27"/>
        <v>0</v>
      </c>
      <c r="N80" s="20">
        <f t="shared" si="28"/>
        <v>0.6</v>
      </c>
      <c r="O80" s="20">
        <f t="shared" si="29"/>
        <v>3</v>
      </c>
      <c r="P80" s="20">
        <f t="shared" si="30"/>
        <v>0.375</v>
      </c>
      <c r="Q80" s="20">
        <f t="shared" si="31"/>
        <v>2</v>
      </c>
      <c r="V80" s="24" t="s">
        <v>302</v>
      </c>
      <c r="X80" s="26" t="s">
        <v>303</v>
      </c>
      <c r="Y80" s="31"/>
    </row>
    <row r="81" spans="1:25" x14ac:dyDescent="0.25">
      <c r="A81" s="1" t="s">
        <v>373</v>
      </c>
      <c r="B81" s="1">
        <v>704</v>
      </c>
      <c r="C81" s="1" t="s">
        <v>621</v>
      </c>
      <c r="D81" s="2">
        <v>9</v>
      </c>
      <c r="E81" s="1" t="s">
        <v>59</v>
      </c>
      <c r="F81" s="2">
        <v>7</v>
      </c>
      <c r="G81" s="2">
        <v>3</v>
      </c>
      <c r="H81" s="2">
        <v>10</v>
      </c>
      <c r="I81" s="2">
        <v>0</v>
      </c>
      <c r="J81" s="7">
        <f t="shared" si="24"/>
        <v>1.8571428571428572</v>
      </c>
      <c r="K81" s="7">
        <f t="shared" si="25"/>
        <v>0.42857142857142855</v>
      </c>
      <c r="L81" s="20">
        <f t="shared" si="26"/>
        <v>1.4285714285714286</v>
      </c>
      <c r="M81" s="20">
        <f t="shared" si="27"/>
        <v>0</v>
      </c>
      <c r="N81" s="20">
        <f t="shared" si="28"/>
        <v>0.42857142857142855</v>
      </c>
      <c r="O81" s="20">
        <f t="shared" si="29"/>
        <v>3</v>
      </c>
      <c r="P81" s="20">
        <f t="shared" si="30"/>
        <v>0.33333333333333331</v>
      </c>
      <c r="Q81" s="20">
        <f t="shared" si="31"/>
        <v>1.8571428571428572</v>
      </c>
      <c r="R81" s="21" t="s">
        <v>47</v>
      </c>
      <c r="S81" s="22" t="s">
        <v>57</v>
      </c>
      <c r="W81" s="25" t="s">
        <v>19</v>
      </c>
      <c r="Y81" s="31"/>
    </row>
    <row r="82" spans="1:25" x14ac:dyDescent="0.25">
      <c r="B82" s="1" t="s">
        <v>204</v>
      </c>
      <c r="C82" s="1" t="s">
        <v>167</v>
      </c>
      <c r="D82" s="2">
        <v>9</v>
      </c>
      <c r="E82" s="2" t="s">
        <v>627</v>
      </c>
      <c r="F82" s="2">
        <v>6</v>
      </c>
      <c r="G82" s="2">
        <v>4</v>
      </c>
      <c r="H82" s="2">
        <v>7</v>
      </c>
      <c r="I82" s="2">
        <v>1</v>
      </c>
      <c r="J82" s="7">
        <f t="shared" si="24"/>
        <v>2</v>
      </c>
      <c r="K82" s="7">
        <f t="shared" si="25"/>
        <v>0.66666666666666663</v>
      </c>
      <c r="L82" s="20">
        <f t="shared" si="26"/>
        <v>1.1666666666666667</v>
      </c>
      <c r="M82" s="20">
        <f t="shared" si="27"/>
        <v>0.16666666666666666</v>
      </c>
      <c r="N82" s="20">
        <f t="shared" si="28"/>
        <v>0.83333333333333337</v>
      </c>
      <c r="O82" s="20">
        <f t="shared" si="29"/>
        <v>5</v>
      </c>
      <c r="P82" s="20">
        <f t="shared" si="30"/>
        <v>0.55555555555555558</v>
      </c>
      <c r="Q82" s="20">
        <f t="shared" si="31"/>
        <v>1.8333333333333335</v>
      </c>
      <c r="R82" s="21" t="s">
        <v>43</v>
      </c>
      <c r="U82" s="42" t="s">
        <v>75</v>
      </c>
      <c r="V82" s="24" t="s">
        <v>586</v>
      </c>
      <c r="Y82" s="31"/>
    </row>
    <row r="83" spans="1:25" x14ac:dyDescent="0.25">
      <c r="B83" s="1" t="s">
        <v>219</v>
      </c>
      <c r="C83" s="1" t="s">
        <v>167</v>
      </c>
      <c r="D83" s="2">
        <v>9</v>
      </c>
      <c r="E83" s="2" t="s">
        <v>59</v>
      </c>
      <c r="F83" s="2">
        <v>7</v>
      </c>
      <c r="G83" s="2">
        <v>4</v>
      </c>
      <c r="H83" s="2">
        <v>8</v>
      </c>
      <c r="I83" s="2">
        <v>1</v>
      </c>
      <c r="J83" s="7">
        <f t="shared" si="24"/>
        <v>1.8571428571428572</v>
      </c>
      <c r="K83" s="7">
        <f t="shared" si="25"/>
        <v>0.5714285714285714</v>
      </c>
      <c r="L83" s="20">
        <f t="shared" si="26"/>
        <v>1.1428571428571428</v>
      </c>
      <c r="M83" s="20">
        <f t="shared" si="27"/>
        <v>0.14285714285714285</v>
      </c>
      <c r="N83" s="20">
        <f t="shared" si="28"/>
        <v>0.7142857142857143</v>
      </c>
      <c r="O83" s="20">
        <f t="shared" si="29"/>
        <v>5</v>
      </c>
      <c r="P83" s="20">
        <f t="shared" si="30"/>
        <v>0.55555555555555558</v>
      </c>
      <c r="Q83" s="20">
        <f t="shared" si="31"/>
        <v>1.7142857142857142</v>
      </c>
      <c r="R83" s="21" t="s">
        <v>41</v>
      </c>
      <c r="U83" s="42" t="s">
        <v>587</v>
      </c>
      <c r="V83" s="24" t="s">
        <v>242</v>
      </c>
      <c r="Y83" s="31"/>
    </row>
    <row r="84" spans="1:25" x14ac:dyDescent="0.25">
      <c r="B84" s="1" t="s">
        <v>129</v>
      </c>
      <c r="C84" s="1" t="s">
        <v>621</v>
      </c>
      <c r="D84" s="2">
        <v>3</v>
      </c>
      <c r="E84" s="2" t="s">
        <v>16</v>
      </c>
      <c r="F84" s="2">
        <v>2</v>
      </c>
      <c r="G84" s="2">
        <v>1</v>
      </c>
      <c r="H84" s="2">
        <v>5</v>
      </c>
      <c r="I84" s="2">
        <v>1</v>
      </c>
      <c r="J84" s="7">
        <f t="shared" si="24"/>
        <v>3.5</v>
      </c>
      <c r="K84" s="7">
        <f t="shared" si="25"/>
        <v>0.5</v>
      </c>
      <c r="L84" s="20">
        <f t="shared" si="26"/>
        <v>2.5</v>
      </c>
      <c r="M84" s="20">
        <f t="shared" si="27"/>
        <v>0.5</v>
      </c>
      <c r="N84" s="20">
        <f t="shared" si="28"/>
        <v>1</v>
      </c>
      <c r="O84" s="20">
        <f t="shared" si="29"/>
        <v>2</v>
      </c>
      <c r="P84" s="20">
        <f t="shared" si="30"/>
        <v>0.66666666666666663</v>
      </c>
      <c r="Q84" s="20">
        <f t="shared" si="31"/>
        <v>3</v>
      </c>
      <c r="R84" s="21" t="s">
        <v>128</v>
      </c>
      <c r="Y84" s="31"/>
    </row>
    <row r="85" spans="1:25" x14ac:dyDescent="0.25">
      <c r="B85" s="1" t="s">
        <v>214</v>
      </c>
      <c r="C85" s="1" t="s">
        <v>167</v>
      </c>
      <c r="D85" s="2">
        <v>5</v>
      </c>
      <c r="E85" s="2" t="s">
        <v>59</v>
      </c>
      <c r="F85" s="2">
        <v>4</v>
      </c>
      <c r="G85" s="2">
        <v>3</v>
      </c>
      <c r="H85" s="2">
        <v>5</v>
      </c>
      <c r="I85" s="2">
        <v>1</v>
      </c>
      <c r="J85" s="7">
        <f t="shared" si="24"/>
        <v>2.25</v>
      </c>
      <c r="K85" s="7">
        <f t="shared" si="25"/>
        <v>0.75</v>
      </c>
      <c r="L85" s="20">
        <f t="shared" si="26"/>
        <v>1.25</v>
      </c>
      <c r="M85" s="20">
        <f t="shared" si="27"/>
        <v>0.25</v>
      </c>
      <c r="N85" s="20">
        <f t="shared" si="28"/>
        <v>1</v>
      </c>
      <c r="O85" s="20">
        <f t="shared" si="29"/>
        <v>4</v>
      </c>
      <c r="P85" s="20">
        <f t="shared" si="30"/>
        <v>0.8</v>
      </c>
      <c r="Q85" s="20">
        <f t="shared" si="31"/>
        <v>2</v>
      </c>
      <c r="R85" s="21" t="s">
        <v>13</v>
      </c>
      <c r="U85" s="42" t="s">
        <v>7</v>
      </c>
      <c r="Y85" s="31"/>
    </row>
    <row r="86" spans="1:25" x14ac:dyDescent="0.25">
      <c r="B86" s="1" t="s">
        <v>189</v>
      </c>
      <c r="C86" s="1" t="s">
        <v>167</v>
      </c>
      <c r="D86" s="2">
        <v>5</v>
      </c>
      <c r="E86" s="2" t="s">
        <v>627</v>
      </c>
      <c r="F86" s="2">
        <v>2</v>
      </c>
      <c r="G86" s="2">
        <v>3</v>
      </c>
      <c r="H86" s="2">
        <v>6</v>
      </c>
      <c r="I86" s="2">
        <v>-1</v>
      </c>
      <c r="J86" s="7">
        <f t="shared" si="24"/>
        <v>4</v>
      </c>
      <c r="K86" s="7">
        <f t="shared" si="25"/>
        <v>1.5</v>
      </c>
      <c r="L86" s="20">
        <f t="shared" si="26"/>
        <v>3</v>
      </c>
      <c r="M86" s="20">
        <f t="shared" si="27"/>
        <v>-0.5</v>
      </c>
      <c r="N86" s="20">
        <f t="shared" si="28"/>
        <v>1</v>
      </c>
      <c r="O86" s="20">
        <f t="shared" si="29"/>
        <v>2</v>
      </c>
      <c r="P86" s="20">
        <f t="shared" si="30"/>
        <v>0.4</v>
      </c>
      <c r="Q86" s="20">
        <f t="shared" si="31"/>
        <v>4.5</v>
      </c>
      <c r="R86" s="21" t="s">
        <v>7</v>
      </c>
      <c r="U86" s="42" t="s">
        <v>190</v>
      </c>
      <c r="Y86" s="31"/>
    </row>
    <row r="87" spans="1:25" x14ac:dyDescent="0.25">
      <c r="B87" s="1" t="s">
        <v>257</v>
      </c>
      <c r="C87" s="1" t="s">
        <v>622</v>
      </c>
      <c r="D87" s="2">
        <v>3</v>
      </c>
      <c r="E87" s="2" t="s">
        <v>16</v>
      </c>
      <c r="F87" s="2">
        <v>2</v>
      </c>
      <c r="G87" s="2">
        <v>1</v>
      </c>
      <c r="H87" s="2">
        <v>4</v>
      </c>
      <c r="I87" s="2">
        <v>1</v>
      </c>
      <c r="J87" s="7">
        <f t="shared" si="24"/>
        <v>3</v>
      </c>
      <c r="K87" s="7">
        <f t="shared" si="25"/>
        <v>0.5</v>
      </c>
      <c r="L87" s="20">
        <f t="shared" si="26"/>
        <v>2</v>
      </c>
      <c r="M87" s="20">
        <f t="shared" si="27"/>
        <v>0.5</v>
      </c>
      <c r="N87" s="20">
        <f t="shared" si="28"/>
        <v>1</v>
      </c>
      <c r="O87" s="20">
        <f t="shared" si="29"/>
        <v>2</v>
      </c>
      <c r="P87" s="20">
        <f t="shared" si="30"/>
        <v>0.66666666666666663</v>
      </c>
      <c r="Q87" s="20">
        <f t="shared" si="31"/>
        <v>2.5</v>
      </c>
      <c r="R87" s="21" t="s">
        <v>258</v>
      </c>
      <c r="T87" s="29" t="s">
        <v>259</v>
      </c>
      <c r="Y87" s="31"/>
    </row>
    <row r="88" spans="1:25" x14ac:dyDescent="0.25">
      <c r="B88" s="1" t="s">
        <v>222</v>
      </c>
      <c r="C88" s="1" t="s">
        <v>167</v>
      </c>
      <c r="D88" s="2">
        <v>10</v>
      </c>
      <c r="E88" s="2" t="s">
        <v>59</v>
      </c>
      <c r="F88" s="2">
        <v>10</v>
      </c>
      <c r="G88" s="2">
        <v>6</v>
      </c>
      <c r="H88" s="2">
        <v>15</v>
      </c>
      <c r="I88" s="2">
        <v>0</v>
      </c>
      <c r="J88" s="7">
        <f t="shared" si="24"/>
        <v>2.1</v>
      </c>
      <c r="K88" s="7">
        <f t="shared" si="25"/>
        <v>0.6</v>
      </c>
      <c r="L88" s="20">
        <f t="shared" si="26"/>
        <v>1.5</v>
      </c>
      <c r="M88" s="20">
        <f t="shared" si="27"/>
        <v>0</v>
      </c>
      <c r="N88" s="20">
        <f t="shared" si="28"/>
        <v>0.6</v>
      </c>
      <c r="O88" s="20">
        <f t="shared" si="29"/>
        <v>6</v>
      </c>
      <c r="P88" s="20">
        <f t="shared" si="30"/>
        <v>0.6</v>
      </c>
      <c r="Q88" s="20">
        <f t="shared" si="31"/>
        <v>2.1</v>
      </c>
      <c r="R88" s="21" t="s">
        <v>223</v>
      </c>
      <c r="U88" s="42" t="s">
        <v>224</v>
      </c>
      <c r="X88" s="26" t="s">
        <v>225</v>
      </c>
      <c r="Y88" s="31"/>
    </row>
    <row r="89" spans="1:25" x14ac:dyDescent="0.25">
      <c r="B89" s="1" t="s">
        <v>296</v>
      </c>
      <c r="C89" s="1" t="s">
        <v>622</v>
      </c>
      <c r="D89" s="2">
        <v>9</v>
      </c>
      <c r="E89" s="2" t="s">
        <v>42</v>
      </c>
      <c r="F89" s="2">
        <v>8</v>
      </c>
      <c r="G89" s="2">
        <v>3</v>
      </c>
      <c r="H89" s="2">
        <v>8</v>
      </c>
      <c r="I89" s="2">
        <v>0</v>
      </c>
      <c r="J89" s="7">
        <f t="shared" si="24"/>
        <v>1.375</v>
      </c>
      <c r="K89" s="7">
        <f t="shared" si="25"/>
        <v>0.375</v>
      </c>
      <c r="L89" s="20">
        <f t="shared" si="26"/>
        <v>1</v>
      </c>
      <c r="M89" s="20">
        <f t="shared" si="27"/>
        <v>0</v>
      </c>
      <c r="N89" s="20">
        <f t="shared" si="28"/>
        <v>0.375</v>
      </c>
      <c r="O89" s="20">
        <f t="shared" si="29"/>
        <v>3</v>
      </c>
      <c r="P89" s="20">
        <f t="shared" si="30"/>
        <v>0.33333333333333331</v>
      </c>
      <c r="Q89" s="20">
        <f t="shared" si="31"/>
        <v>1.375</v>
      </c>
      <c r="T89" s="29" t="s">
        <v>297</v>
      </c>
      <c r="X89" s="26" t="s">
        <v>43</v>
      </c>
      <c r="Y89" s="31"/>
    </row>
    <row r="90" spans="1:25" x14ac:dyDescent="0.25">
      <c r="B90" s="1" t="s">
        <v>217</v>
      </c>
      <c r="C90" s="1" t="s">
        <v>167</v>
      </c>
      <c r="D90" s="2">
        <v>8</v>
      </c>
      <c r="E90" s="2" t="s">
        <v>59</v>
      </c>
      <c r="F90" s="2">
        <v>6</v>
      </c>
      <c r="G90" s="2">
        <v>3</v>
      </c>
      <c r="H90" s="2">
        <v>8</v>
      </c>
      <c r="I90" s="2">
        <v>1</v>
      </c>
      <c r="J90" s="7">
        <f t="shared" si="24"/>
        <v>2</v>
      </c>
      <c r="K90" s="7">
        <f t="shared" si="25"/>
        <v>0.5</v>
      </c>
      <c r="L90" s="20">
        <f t="shared" si="26"/>
        <v>1.3333333333333333</v>
      </c>
      <c r="M90" s="20">
        <f t="shared" si="27"/>
        <v>0.16666666666666666</v>
      </c>
      <c r="N90" s="20">
        <f t="shared" si="28"/>
        <v>0.66666666666666663</v>
      </c>
      <c r="O90" s="20">
        <f t="shared" si="29"/>
        <v>4</v>
      </c>
      <c r="P90" s="20">
        <f t="shared" si="30"/>
        <v>0.5</v>
      </c>
      <c r="Q90" s="20">
        <f t="shared" si="31"/>
        <v>1.8333333333333333</v>
      </c>
      <c r="R90" s="21" t="s">
        <v>628</v>
      </c>
      <c r="U90" s="42" t="s">
        <v>218</v>
      </c>
      <c r="W90" s="25" t="s">
        <v>75</v>
      </c>
      <c r="Y90" s="31"/>
    </row>
    <row r="91" spans="1:25" x14ac:dyDescent="0.25">
      <c r="B91" s="1">
        <v>212</v>
      </c>
      <c r="C91" s="1" t="s">
        <v>621</v>
      </c>
      <c r="D91" s="2">
        <v>9</v>
      </c>
      <c r="E91" s="2" t="s">
        <v>42</v>
      </c>
      <c r="F91" s="2">
        <v>7</v>
      </c>
      <c r="G91" s="2">
        <v>3</v>
      </c>
      <c r="H91" s="2">
        <v>7</v>
      </c>
      <c r="I91" s="2">
        <v>0</v>
      </c>
      <c r="J91" s="7">
        <f t="shared" si="24"/>
        <v>1.4285714285714286</v>
      </c>
      <c r="K91" s="7">
        <f t="shared" si="25"/>
        <v>0.42857142857142855</v>
      </c>
      <c r="L91" s="20">
        <f t="shared" si="26"/>
        <v>1</v>
      </c>
      <c r="M91" s="20">
        <f t="shared" si="27"/>
        <v>0</v>
      </c>
      <c r="N91" s="20">
        <f t="shared" si="28"/>
        <v>0.42857142857142855</v>
      </c>
      <c r="O91" s="20">
        <f t="shared" si="29"/>
        <v>3</v>
      </c>
      <c r="P91" s="20">
        <f t="shared" si="30"/>
        <v>0.33333333333333331</v>
      </c>
      <c r="Q91" s="20">
        <f t="shared" si="31"/>
        <v>1.4285714285714286</v>
      </c>
      <c r="R91" s="21" t="s">
        <v>101</v>
      </c>
      <c r="S91" s="22" t="s">
        <v>44</v>
      </c>
      <c r="V91" s="24" t="s">
        <v>522</v>
      </c>
      <c r="Y91" s="31"/>
    </row>
    <row r="92" spans="1:25" x14ac:dyDescent="0.25">
      <c r="A92" s="1" t="s">
        <v>372</v>
      </c>
      <c r="B92" s="1" t="s">
        <v>244</v>
      </c>
      <c r="C92" s="1" t="s">
        <v>167</v>
      </c>
      <c r="D92" s="2">
        <v>8</v>
      </c>
      <c r="E92" s="2" t="s">
        <v>18</v>
      </c>
      <c r="F92" s="2">
        <v>10</v>
      </c>
      <c r="G92" s="2">
        <v>3</v>
      </c>
      <c r="H92" s="2">
        <v>1</v>
      </c>
      <c r="I92" s="2">
        <v>1</v>
      </c>
      <c r="J92" s="7">
        <f t="shared" si="24"/>
        <v>0.5</v>
      </c>
      <c r="K92" s="7">
        <f t="shared" si="25"/>
        <v>0.3</v>
      </c>
      <c r="L92" s="20">
        <f t="shared" si="26"/>
        <v>0.1</v>
      </c>
      <c r="M92" s="20">
        <f t="shared" si="27"/>
        <v>0.1</v>
      </c>
      <c r="N92" s="20">
        <f t="shared" si="28"/>
        <v>0.4</v>
      </c>
      <c r="O92" s="20">
        <f t="shared" si="29"/>
        <v>4</v>
      </c>
      <c r="P92" s="20">
        <f t="shared" si="30"/>
        <v>0.5</v>
      </c>
      <c r="Q92" s="20">
        <f t="shared" si="31"/>
        <v>0.4</v>
      </c>
      <c r="R92" s="21" t="s">
        <v>245</v>
      </c>
      <c r="V92" s="24" t="s">
        <v>246</v>
      </c>
      <c r="W92" s="25" t="s">
        <v>47</v>
      </c>
      <c r="X92" s="26" t="s">
        <v>7</v>
      </c>
      <c r="Y92" s="31"/>
    </row>
    <row r="93" spans="1:25" x14ac:dyDescent="0.25">
      <c r="B93" s="1" t="s">
        <v>279</v>
      </c>
      <c r="C93" s="1" t="s">
        <v>622</v>
      </c>
      <c r="D93" s="2">
        <v>4</v>
      </c>
      <c r="E93" s="2" t="s">
        <v>59</v>
      </c>
      <c r="F93" s="2">
        <v>4</v>
      </c>
      <c r="G93" s="2">
        <v>2</v>
      </c>
      <c r="H93" s="2">
        <v>5</v>
      </c>
      <c r="I93" s="2">
        <v>2</v>
      </c>
      <c r="J93" s="7">
        <f t="shared" si="24"/>
        <v>2.25</v>
      </c>
      <c r="K93" s="7">
        <f t="shared" si="25"/>
        <v>0.5</v>
      </c>
      <c r="L93" s="20">
        <f t="shared" si="26"/>
        <v>1.25</v>
      </c>
      <c r="M93" s="20">
        <f t="shared" si="27"/>
        <v>0.5</v>
      </c>
      <c r="N93" s="20">
        <f t="shared" si="28"/>
        <v>1</v>
      </c>
      <c r="O93" s="20">
        <f t="shared" si="29"/>
        <v>4</v>
      </c>
      <c r="P93" s="20">
        <f t="shared" si="30"/>
        <v>1</v>
      </c>
      <c r="Q93" s="20">
        <f t="shared" si="31"/>
        <v>1.75</v>
      </c>
      <c r="T93" s="29" t="s">
        <v>7</v>
      </c>
      <c r="Y93" s="31"/>
    </row>
    <row r="94" spans="1:25" x14ac:dyDescent="0.25">
      <c r="A94" s="1" t="s">
        <v>372</v>
      </c>
      <c r="B94" s="1" t="s">
        <v>193</v>
      </c>
      <c r="C94" s="1" t="s">
        <v>167</v>
      </c>
      <c r="D94" s="2">
        <v>8</v>
      </c>
      <c r="E94" s="2" t="s">
        <v>18</v>
      </c>
      <c r="F94" s="2">
        <v>7</v>
      </c>
      <c r="G94" s="2">
        <v>4</v>
      </c>
      <c r="H94" s="2">
        <v>12</v>
      </c>
      <c r="I94" s="2">
        <v>0</v>
      </c>
      <c r="J94" s="7">
        <f t="shared" ref="J94:J102" si="32">(G94+H94+I94)/F94</f>
        <v>2.2857142857142856</v>
      </c>
      <c r="K94" s="7">
        <f t="shared" ref="K94:K102" si="33">G94/F94</f>
        <v>0.5714285714285714</v>
      </c>
      <c r="L94" s="20">
        <f t="shared" ref="L94:L102" si="34">H94/F94</f>
        <v>1.7142857142857142</v>
      </c>
      <c r="M94" s="20">
        <f t="shared" ref="M94:M102" si="35">I94/F94</f>
        <v>0</v>
      </c>
      <c r="N94" s="20">
        <f t="shared" ref="N94:N102" si="36">(G94+I94)/F94</f>
        <v>0.5714285714285714</v>
      </c>
      <c r="O94" s="20">
        <f t="shared" ref="O94:O102" si="37">G94+I94</f>
        <v>4</v>
      </c>
      <c r="P94" s="20">
        <f t="shared" ref="P94:P102" si="38">O94/D94</f>
        <v>0.5</v>
      </c>
      <c r="Q94" s="20">
        <f t="shared" ref="Q94:Q102" si="39">K94+L94</f>
        <v>2.2857142857142856</v>
      </c>
      <c r="U94" s="42" t="s">
        <v>194</v>
      </c>
      <c r="W94" s="25" t="s">
        <v>47</v>
      </c>
      <c r="Y94" s="31"/>
    </row>
    <row r="95" spans="1:25" x14ac:dyDescent="0.25">
      <c r="A95" s="1" t="s">
        <v>372</v>
      </c>
      <c r="B95" s="1" t="s">
        <v>37</v>
      </c>
      <c r="C95" s="1" t="s">
        <v>621</v>
      </c>
      <c r="D95" s="2">
        <v>7</v>
      </c>
      <c r="E95" s="2" t="s">
        <v>42</v>
      </c>
      <c r="F95" s="2">
        <v>6</v>
      </c>
      <c r="G95" s="2">
        <v>3</v>
      </c>
      <c r="H95" s="2">
        <v>6</v>
      </c>
      <c r="I95" s="2">
        <v>0</v>
      </c>
      <c r="J95" s="7">
        <f t="shared" si="32"/>
        <v>1.5</v>
      </c>
      <c r="K95" s="7">
        <f t="shared" si="33"/>
        <v>0.5</v>
      </c>
      <c r="L95" s="20">
        <f t="shared" si="34"/>
        <v>1</v>
      </c>
      <c r="M95" s="20">
        <f t="shared" si="35"/>
        <v>0</v>
      </c>
      <c r="N95" s="20">
        <f t="shared" si="36"/>
        <v>0.5</v>
      </c>
      <c r="O95" s="20">
        <f t="shared" si="37"/>
        <v>3</v>
      </c>
      <c r="P95" s="20">
        <f t="shared" si="38"/>
        <v>0.42857142857142855</v>
      </c>
      <c r="Q95" s="20">
        <f t="shared" si="39"/>
        <v>1.5</v>
      </c>
      <c r="R95" s="21" t="s">
        <v>99</v>
      </c>
      <c r="S95" s="22" t="s">
        <v>47</v>
      </c>
      <c r="Y95" s="31"/>
    </row>
    <row r="96" spans="1:25" x14ac:dyDescent="0.25">
      <c r="B96" s="1" t="s">
        <v>51</v>
      </c>
      <c r="C96" s="1" t="s">
        <v>621</v>
      </c>
      <c r="D96" s="2">
        <v>10</v>
      </c>
      <c r="E96" s="2" t="s">
        <v>627</v>
      </c>
      <c r="F96" s="2">
        <v>7</v>
      </c>
      <c r="G96" s="2">
        <v>3</v>
      </c>
      <c r="H96" s="2">
        <v>12</v>
      </c>
      <c r="I96" s="2">
        <v>1</v>
      </c>
      <c r="J96" s="7">
        <f t="shared" si="32"/>
        <v>2.2857142857142856</v>
      </c>
      <c r="K96" s="7">
        <f t="shared" si="33"/>
        <v>0.42857142857142855</v>
      </c>
      <c r="L96" s="20">
        <f t="shared" si="34"/>
        <v>1.7142857142857142</v>
      </c>
      <c r="M96" s="20">
        <f t="shared" si="35"/>
        <v>0.14285714285714285</v>
      </c>
      <c r="N96" s="20">
        <f t="shared" si="36"/>
        <v>0.5714285714285714</v>
      </c>
      <c r="O96" s="20">
        <f t="shared" si="37"/>
        <v>4</v>
      </c>
      <c r="P96" s="20">
        <f t="shared" si="38"/>
        <v>0.4</v>
      </c>
      <c r="Q96" s="20">
        <f t="shared" si="39"/>
        <v>2.1428571428571428</v>
      </c>
      <c r="R96" s="21" t="s">
        <v>41</v>
      </c>
      <c r="S96" s="22" t="s">
        <v>90</v>
      </c>
      <c r="V96" s="24" t="s">
        <v>91</v>
      </c>
      <c r="Y96" s="31"/>
    </row>
    <row r="97" spans="1:25" x14ac:dyDescent="0.25">
      <c r="B97" s="1" t="s">
        <v>38</v>
      </c>
      <c r="C97" s="1" t="s">
        <v>621</v>
      </c>
      <c r="D97" s="2">
        <v>8</v>
      </c>
      <c r="E97" s="2" t="s">
        <v>42</v>
      </c>
      <c r="F97" s="2">
        <v>7</v>
      </c>
      <c r="G97" s="2">
        <v>2</v>
      </c>
      <c r="H97" s="2">
        <v>8</v>
      </c>
      <c r="I97" s="2">
        <v>0</v>
      </c>
      <c r="J97" s="7">
        <f t="shared" si="32"/>
        <v>1.4285714285714286</v>
      </c>
      <c r="K97" s="7">
        <f t="shared" si="33"/>
        <v>0.2857142857142857</v>
      </c>
      <c r="L97" s="20">
        <f t="shared" si="34"/>
        <v>1.1428571428571428</v>
      </c>
      <c r="M97" s="20">
        <f t="shared" si="35"/>
        <v>0</v>
      </c>
      <c r="N97" s="20">
        <f t="shared" si="36"/>
        <v>0.2857142857142857</v>
      </c>
      <c r="O97" s="20">
        <f t="shared" si="37"/>
        <v>2</v>
      </c>
      <c r="P97" s="20">
        <f t="shared" si="38"/>
        <v>0.25</v>
      </c>
      <c r="Q97" s="20">
        <f t="shared" si="39"/>
        <v>1.4285714285714284</v>
      </c>
      <c r="S97" s="22" t="s">
        <v>75</v>
      </c>
      <c r="X97" s="26" t="s">
        <v>233</v>
      </c>
      <c r="Y97" s="31"/>
    </row>
    <row r="98" spans="1:25" x14ac:dyDescent="0.25">
      <c r="A98" s="1" t="s">
        <v>372</v>
      </c>
      <c r="B98" s="1">
        <v>261</v>
      </c>
      <c r="C98" s="1" t="s">
        <v>621</v>
      </c>
      <c r="D98" s="2">
        <v>10</v>
      </c>
      <c r="E98" s="2" t="s">
        <v>42</v>
      </c>
      <c r="F98" s="2">
        <v>6</v>
      </c>
      <c r="G98" s="2">
        <v>3</v>
      </c>
      <c r="H98" s="2">
        <v>8</v>
      </c>
      <c r="I98" s="2">
        <v>0</v>
      </c>
      <c r="J98" s="7">
        <f t="shared" si="32"/>
        <v>1.8333333333333333</v>
      </c>
      <c r="K98" s="7">
        <f t="shared" si="33"/>
        <v>0.5</v>
      </c>
      <c r="L98" s="20">
        <f t="shared" si="34"/>
        <v>1.3333333333333333</v>
      </c>
      <c r="M98" s="20">
        <f t="shared" si="35"/>
        <v>0</v>
      </c>
      <c r="N98" s="20">
        <f t="shared" si="36"/>
        <v>0.5</v>
      </c>
      <c r="O98" s="20">
        <f t="shared" si="37"/>
        <v>3</v>
      </c>
      <c r="P98" s="20">
        <f t="shared" si="38"/>
        <v>0.3</v>
      </c>
      <c r="Q98" s="20">
        <f t="shared" si="39"/>
        <v>1.8333333333333333</v>
      </c>
      <c r="S98" s="22" t="s">
        <v>106</v>
      </c>
      <c r="W98" s="25" t="s">
        <v>486</v>
      </c>
      <c r="Y98" s="31"/>
    </row>
    <row r="99" spans="1:25" x14ac:dyDescent="0.25">
      <c r="B99" s="1" t="s">
        <v>304</v>
      </c>
      <c r="C99" s="1" t="s">
        <v>622</v>
      </c>
      <c r="D99" s="2">
        <v>8</v>
      </c>
      <c r="E99" s="2" t="s">
        <v>18</v>
      </c>
      <c r="F99" s="2">
        <v>9</v>
      </c>
      <c r="G99" s="2">
        <v>4</v>
      </c>
      <c r="H99" s="2">
        <v>13</v>
      </c>
      <c r="I99" s="2">
        <v>1</v>
      </c>
      <c r="J99" s="7">
        <f t="shared" si="32"/>
        <v>2</v>
      </c>
      <c r="K99" s="7">
        <f t="shared" si="33"/>
        <v>0.44444444444444442</v>
      </c>
      <c r="L99" s="20">
        <f t="shared" si="34"/>
        <v>1.4444444444444444</v>
      </c>
      <c r="M99" s="20">
        <f t="shared" si="35"/>
        <v>0.1111111111111111</v>
      </c>
      <c r="N99" s="20">
        <f t="shared" si="36"/>
        <v>0.55555555555555558</v>
      </c>
      <c r="O99" s="20">
        <f t="shared" si="37"/>
        <v>5</v>
      </c>
      <c r="P99" s="20">
        <f t="shared" si="38"/>
        <v>0.625</v>
      </c>
      <c r="Q99" s="20">
        <f t="shared" si="39"/>
        <v>1.8888888888888888</v>
      </c>
      <c r="R99" s="21" t="s">
        <v>305</v>
      </c>
      <c r="W99" s="25" t="s">
        <v>41</v>
      </c>
      <c r="X99" s="26" t="s">
        <v>43</v>
      </c>
      <c r="Y99" s="31"/>
    </row>
    <row r="100" spans="1:25" x14ac:dyDescent="0.25">
      <c r="B100" s="1" t="s">
        <v>267</v>
      </c>
      <c r="C100" s="1" t="s">
        <v>622</v>
      </c>
      <c r="D100" s="2">
        <v>10</v>
      </c>
      <c r="E100" s="2" t="s">
        <v>627</v>
      </c>
      <c r="F100" s="2">
        <v>9</v>
      </c>
      <c r="G100" s="2">
        <v>3</v>
      </c>
      <c r="H100" s="2">
        <v>11</v>
      </c>
      <c r="I100" s="2">
        <v>1</v>
      </c>
      <c r="J100" s="7">
        <f t="shared" si="32"/>
        <v>1.6666666666666667</v>
      </c>
      <c r="K100" s="7">
        <f t="shared" si="33"/>
        <v>0.33333333333333331</v>
      </c>
      <c r="L100" s="20">
        <f t="shared" si="34"/>
        <v>1.2222222222222223</v>
      </c>
      <c r="M100" s="20">
        <f t="shared" si="35"/>
        <v>0.1111111111111111</v>
      </c>
      <c r="N100" s="20">
        <f t="shared" si="36"/>
        <v>0.44444444444444442</v>
      </c>
      <c r="O100" s="20">
        <f t="shared" si="37"/>
        <v>4</v>
      </c>
      <c r="P100" s="20">
        <f t="shared" si="38"/>
        <v>0.4</v>
      </c>
      <c r="Q100" s="20">
        <f t="shared" si="39"/>
        <v>1.5555555555555556</v>
      </c>
      <c r="R100" s="21" t="s">
        <v>43</v>
      </c>
      <c r="T100" s="29" t="s">
        <v>597</v>
      </c>
      <c r="V100" s="24" t="s">
        <v>269</v>
      </c>
      <c r="Y100" s="31"/>
    </row>
    <row r="101" spans="1:25" x14ac:dyDescent="0.25">
      <c r="B101" s="1" t="s">
        <v>231</v>
      </c>
      <c r="C101" s="1" t="s">
        <v>167</v>
      </c>
      <c r="D101" s="2">
        <v>7</v>
      </c>
      <c r="E101" s="2" t="s">
        <v>42</v>
      </c>
      <c r="F101" s="2">
        <v>5</v>
      </c>
      <c r="G101" s="2">
        <v>2</v>
      </c>
      <c r="H101" s="2">
        <v>6</v>
      </c>
      <c r="I101" s="2">
        <v>0</v>
      </c>
      <c r="J101" s="7">
        <f t="shared" si="32"/>
        <v>1.6</v>
      </c>
      <c r="K101" s="7">
        <f t="shared" si="33"/>
        <v>0.4</v>
      </c>
      <c r="L101" s="20">
        <f t="shared" si="34"/>
        <v>1.2</v>
      </c>
      <c r="M101" s="20">
        <f t="shared" si="35"/>
        <v>0</v>
      </c>
      <c r="N101" s="20">
        <f t="shared" si="36"/>
        <v>0.4</v>
      </c>
      <c r="O101" s="20">
        <f t="shared" si="37"/>
        <v>2</v>
      </c>
      <c r="P101" s="20">
        <f t="shared" si="38"/>
        <v>0.2857142857142857</v>
      </c>
      <c r="Q101" s="20">
        <f t="shared" si="39"/>
        <v>1.6</v>
      </c>
      <c r="U101" s="42" t="s">
        <v>232</v>
      </c>
      <c r="Y101" s="31"/>
    </row>
    <row r="102" spans="1:25" x14ac:dyDescent="0.25">
      <c r="B102" s="1" t="s">
        <v>311</v>
      </c>
      <c r="C102" s="1" t="s">
        <v>622</v>
      </c>
      <c r="D102" s="2">
        <v>3</v>
      </c>
      <c r="E102" s="2" t="s">
        <v>16</v>
      </c>
      <c r="F102" s="2">
        <v>5</v>
      </c>
      <c r="G102" s="2">
        <v>1</v>
      </c>
      <c r="H102" s="2">
        <v>3</v>
      </c>
      <c r="I102" s="2">
        <v>0</v>
      </c>
      <c r="J102" s="7">
        <f t="shared" si="32"/>
        <v>0.8</v>
      </c>
      <c r="K102" s="7">
        <f t="shared" si="33"/>
        <v>0.2</v>
      </c>
      <c r="L102" s="20">
        <f t="shared" si="34"/>
        <v>0.6</v>
      </c>
      <c r="M102" s="20">
        <f t="shared" si="35"/>
        <v>0</v>
      </c>
      <c r="N102" s="20">
        <f t="shared" si="36"/>
        <v>0.2</v>
      </c>
      <c r="O102" s="20">
        <f t="shared" si="37"/>
        <v>1</v>
      </c>
      <c r="P102" s="20">
        <f t="shared" si="38"/>
        <v>0.33333333333333331</v>
      </c>
      <c r="Q102" s="20">
        <f t="shared" si="39"/>
        <v>0.8</v>
      </c>
      <c r="T102" s="29" t="s">
        <v>312</v>
      </c>
      <c r="Y102" s="31"/>
    </row>
    <row r="103" spans="1:25" x14ac:dyDescent="0.25">
      <c r="B103" s="1" t="s">
        <v>710</v>
      </c>
      <c r="C103" s="1" t="s">
        <v>167</v>
      </c>
      <c r="D103" s="2">
        <v>6</v>
      </c>
      <c r="E103" s="2" t="s">
        <v>17</v>
      </c>
      <c r="F103" s="2">
        <v>5</v>
      </c>
      <c r="R103" s="21" t="s">
        <v>722</v>
      </c>
      <c r="U103" s="42" t="s">
        <v>723</v>
      </c>
      <c r="Y103" s="31"/>
    </row>
    <row r="104" spans="1:25" x14ac:dyDescent="0.25">
      <c r="B104" s="1" t="s">
        <v>29</v>
      </c>
      <c r="C104" s="1" t="s">
        <v>621</v>
      </c>
      <c r="D104" s="2">
        <v>4</v>
      </c>
      <c r="E104" s="1" t="s">
        <v>59</v>
      </c>
      <c r="F104" s="2">
        <v>3</v>
      </c>
      <c r="G104" s="2">
        <v>1</v>
      </c>
      <c r="H104" s="2">
        <v>5</v>
      </c>
      <c r="I104" s="2">
        <v>1</v>
      </c>
      <c r="J104" s="7">
        <f t="shared" ref="J104:J143" si="40">(G104+H104+I104)/F104</f>
        <v>2.3333333333333335</v>
      </c>
      <c r="K104" s="7">
        <f t="shared" ref="K104:K143" si="41">G104/F104</f>
        <v>0.33333333333333331</v>
      </c>
      <c r="L104" s="20">
        <f t="shared" ref="L104:L143" si="42">H104/F104</f>
        <v>1.6666666666666667</v>
      </c>
      <c r="M104" s="20">
        <f t="shared" ref="M104:M143" si="43">I104/F104</f>
        <v>0.33333333333333331</v>
      </c>
      <c r="N104" s="20">
        <f t="shared" ref="N104:N143" si="44">(G104+I104)/F104</f>
        <v>0.66666666666666663</v>
      </c>
      <c r="O104" s="20">
        <f t="shared" ref="O104:O143" si="45">G104+I104</f>
        <v>2</v>
      </c>
      <c r="P104" s="20">
        <f t="shared" ref="P104:P143" si="46">O104/D104</f>
        <v>0.5</v>
      </c>
      <c r="Q104" s="20">
        <f t="shared" ref="Q104:Q143" si="47">K104+L104</f>
        <v>2</v>
      </c>
      <c r="R104" s="21" t="s">
        <v>7</v>
      </c>
      <c r="S104" s="22" t="s">
        <v>56</v>
      </c>
      <c r="Y104" s="31"/>
    </row>
    <row r="105" spans="1:25" x14ac:dyDescent="0.25">
      <c r="B105" s="1" t="s">
        <v>323</v>
      </c>
      <c r="C105" s="1" t="s">
        <v>622</v>
      </c>
      <c r="D105" s="2">
        <v>1</v>
      </c>
      <c r="E105" s="2" t="s">
        <v>59</v>
      </c>
      <c r="F105" s="2">
        <v>4</v>
      </c>
      <c r="G105" s="2">
        <v>2</v>
      </c>
      <c r="H105" s="2">
        <v>5</v>
      </c>
      <c r="I105" s="2">
        <v>0</v>
      </c>
      <c r="J105" s="7">
        <f t="shared" si="40"/>
        <v>1.75</v>
      </c>
      <c r="K105" s="7">
        <f t="shared" si="41"/>
        <v>0.5</v>
      </c>
      <c r="L105" s="20">
        <f t="shared" si="42"/>
        <v>1.25</v>
      </c>
      <c r="M105" s="20">
        <f t="shared" si="43"/>
        <v>0</v>
      </c>
      <c r="N105" s="20">
        <f t="shared" si="44"/>
        <v>0.5</v>
      </c>
      <c r="O105" s="20">
        <f t="shared" si="45"/>
        <v>2</v>
      </c>
      <c r="P105" s="20">
        <f t="shared" si="46"/>
        <v>2</v>
      </c>
      <c r="Q105" s="20">
        <f t="shared" si="47"/>
        <v>1.75</v>
      </c>
      <c r="Y105" s="31"/>
    </row>
    <row r="106" spans="1:25" x14ac:dyDescent="0.25">
      <c r="B106" s="1" t="s">
        <v>230</v>
      </c>
      <c r="C106" s="1" t="s">
        <v>167</v>
      </c>
      <c r="D106" s="2">
        <v>6</v>
      </c>
      <c r="E106" s="2" t="s">
        <v>42</v>
      </c>
      <c r="F106" s="2">
        <v>4</v>
      </c>
      <c r="G106" s="2">
        <v>2</v>
      </c>
      <c r="H106" s="2">
        <v>5</v>
      </c>
      <c r="I106" s="2">
        <v>0</v>
      </c>
      <c r="J106" s="7">
        <f t="shared" si="40"/>
        <v>1.75</v>
      </c>
      <c r="K106" s="7">
        <f t="shared" si="41"/>
        <v>0.5</v>
      </c>
      <c r="L106" s="20">
        <f t="shared" si="42"/>
        <v>1.25</v>
      </c>
      <c r="M106" s="20">
        <f t="shared" si="43"/>
        <v>0</v>
      </c>
      <c r="N106" s="20">
        <f t="shared" si="44"/>
        <v>0.5</v>
      </c>
      <c r="O106" s="20">
        <f t="shared" si="45"/>
        <v>2</v>
      </c>
      <c r="P106" s="20">
        <f t="shared" si="46"/>
        <v>0.33333333333333331</v>
      </c>
      <c r="Q106" s="20">
        <f t="shared" si="47"/>
        <v>1.75</v>
      </c>
      <c r="U106" s="42" t="s">
        <v>594</v>
      </c>
      <c r="Y106" s="31"/>
    </row>
    <row r="107" spans="1:25" x14ac:dyDescent="0.25">
      <c r="B107" s="1" t="s">
        <v>4</v>
      </c>
      <c r="C107" s="1" t="s">
        <v>621</v>
      </c>
      <c r="D107" s="2">
        <v>4</v>
      </c>
      <c r="E107" s="2" t="s">
        <v>16</v>
      </c>
      <c r="F107" s="2">
        <v>4</v>
      </c>
      <c r="G107" s="2">
        <v>2</v>
      </c>
      <c r="H107" s="2">
        <v>5</v>
      </c>
      <c r="I107" s="2">
        <v>1</v>
      </c>
      <c r="J107" s="7">
        <f t="shared" si="40"/>
        <v>2</v>
      </c>
      <c r="K107" s="7">
        <f t="shared" si="41"/>
        <v>0.5</v>
      </c>
      <c r="L107" s="20">
        <f t="shared" si="42"/>
        <v>1.25</v>
      </c>
      <c r="M107" s="20">
        <f t="shared" si="43"/>
        <v>0.25</v>
      </c>
      <c r="N107" s="20">
        <f t="shared" si="44"/>
        <v>0.75</v>
      </c>
      <c r="O107" s="20">
        <f t="shared" si="45"/>
        <v>3</v>
      </c>
      <c r="P107" s="20">
        <f t="shared" si="46"/>
        <v>0.75</v>
      </c>
      <c r="Q107" s="20">
        <f t="shared" si="47"/>
        <v>1.75</v>
      </c>
      <c r="S107" s="22" t="s">
        <v>7</v>
      </c>
      <c r="Y107" s="31"/>
    </row>
    <row r="108" spans="1:25" x14ac:dyDescent="0.25">
      <c r="B108" s="1" t="s">
        <v>292</v>
      </c>
      <c r="C108" s="1" t="s">
        <v>622</v>
      </c>
      <c r="D108" s="2">
        <v>5</v>
      </c>
      <c r="E108" s="2" t="s">
        <v>42</v>
      </c>
      <c r="F108" s="2">
        <v>4</v>
      </c>
      <c r="G108" s="2">
        <v>1</v>
      </c>
      <c r="H108" s="2">
        <v>4</v>
      </c>
      <c r="I108" s="2">
        <v>0</v>
      </c>
      <c r="J108" s="7">
        <f t="shared" si="40"/>
        <v>1.25</v>
      </c>
      <c r="K108" s="7">
        <f t="shared" si="41"/>
        <v>0.25</v>
      </c>
      <c r="L108" s="20">
        <f t="shared" si="42"/>
        <v>1</v>
      </c>
      <c r="M108" s="20">
        <f t="shared" si="43"/>
        <v>0</v>
      </c>
      <c r="N108" s="20">
        <f t="shared" si="44"/>
        <v>0.25</v>
      </c>
      <c r="O108" s="20">
        <f t="shared" si="45"/>
        <v>1</v>
      </c>
      <c r="P108" s="20">
        <f t="shared" si="46"/>
        <v>0.2</v>
      </c>
      <c r="Q108" s="20">
        <f t="shared" si="47"/>
        <v>1.25</v>
      </c>
      <c r="T108" s="29" t="s">
        <v>102</v>
      </c>
      <c r="Y108" s="31"/>
    </row>
    <row r="109" spans="1:25" x14ac:dyDescent="0.25">
      <c r="B109" s="1" t="s">
        <v>249</v>
      </c>
      <c r="C109" s="1" t="s">
        <v>167</v>
      </c>
      <c r="D109" s="2">
        <v>3</v>
      </c>
      <c r="E109" s="2" t="s">
        <v>16</v>
      </c>
      <c r="F109" s="2">
        <v>4</v>
      </c>
      <c r="G109" s="2">
        <v>3</v>
      </c>
      <c r="H109" s="2">
        <v>4</v>
      </c>
      <c r="I109" s="2">
        <v>0</v>
      </c>
      <c r="J109" s="7">
        <f t="shared" si="40"/>
        <v>1.75</v>
      </c>
      <c r="K109" s="7">
        <f t="shared" si="41"/>
        <v>0.75</v>
      </c>
      <c r="L109" s="20">
        <f t="shared" si="42"/>
        <v>1</v>
      </c>
      <c r="M109" s="20">
        <f t="shared" si="43"/>
        <v>0</v>
      </c>
      <c r="N109" s="20">
        <f t="shared" si="44"/>
        <v>0.75</v>
      </c>
      <c r="O109" s="20">
        <f t="shared" si="45"/>
        <v>3</v>
      </c>
      <c r="P109" s="20">
        <f t="shared" si="46"/>
        <v>1</v>
      </c>
      <c r="Q109" s="20">
        <f t="shared" si="47"/>
        <v>1.75</v>
      </c>
      <c r="U109" s="42" t="s">
        <v>19</v>
      </c>
      <c r="Y109" s="31"/>
    </row>
    <row r="110" spans="1:25" x14ac:dyDescent="0.25">
      <c r="B110" s="1" t="s">
        <v>287</v>
      </c>
      <c r="C110" s="1" t="s">
        <v>622</v>
      </c>
      <c r="D110" s="2">
        <v>10</v>
      </c>
      <c r="E110" s="2" t="s">
        <v>59</v>
      </c>
      <c r="F110" s="2">
        <v>10</v>
      </c>
      <c r="G110" s="2">
        <v>4</v>
      </c>
      <c r="H110" s="2">
        <v>13</v>
      </c>
      <c r="I110" s="2">
        <v>1</v>
      </c>
      <c r="J110" s="7">
        <f t="shared" si="40"/>
        <v>1.8</v>
      </c>
      <c r="K110" s="7">
        <f t="shared" si="41"/>
        <v>0.4</v>
      </c>
      <c r="L110" s="20">
        <f t="shared" si="42"/>
        <v>1.3</v>
      </c>
      <c r="M110" s="20">
        <f t="shared" si="43"/>
        <v>0.1</v>
      </c>
      <c r="N110" s="20">
        <f t="shared" si="44"/>
        <v>0.5</v>
      </c>
      <c r="O110" s="20">
        <f t="shared" si="45"/>
        <v>5</v>
      </c>
      <c r="P110" s="20">
        <f t="shared" si="46"/>
        <v>0.5</v>
      </c>
      <c r="Q110" s="20">
        <f t="shared" si="47"/>
        <v>1.7000000000000002</v>
      </c>
      <c r="R110" s="21" t="s">
        <v>598</v>
      </c>
      <c r="T110" s="29" t="s">
        <v>288</v>
      </c>
      <c r="W110" s="25" t="s">
        <v>289</v>
      </c>
      <c r="Y110" s="31"/>
    </row>
    <row r="111" spans="1:25" x14ac:dyDescent="0.25">
      <c r="A111" s="1" t="s">
        <v>735</v>
      </c>
      <c r="B111" s="1" t="s">
        <v>199</v>
      </c>
      <c r="C111" s="1" t="s">
        <v>167</v>
      </c>
      <c r="D111" s="2">
        <v>10</v>
      </c>
      <c r="E111" s="2" t="s">
        <v>18</v>
      </c>
      <c r="F111" s="2">
        <v>8</v>
      </c>
      <c r="G111" s="2">
        <v>2</v>
      </c>
      <c r="H111" s="2">
        <v>19</v>
      </c>
      <c r="I111" s="2">
        <v>0</v>
      </c>
      <c r="J111" s="7">
        <f t="shared" si="40"/>
        <v>2.625</v>
      </c>
      <c r="K111" s="7">
        <f t="shared" si="41"/>
        <v>0.25</v>
      </c>
      <c r="L111" s="20">
        <f t="shared" si="42"/>
        <v>2.375</v>
      </c>
      <c r="M111" s="20">
        <f t="shared" si="43"/>
        <v>0</v>
      </c>
      <c r="N111" s="20">
        <f t="shared" si="44"/>
        <v>0.25</v>
      </c>
      <c r="O111" s="20">
        <f t="shared" si="45"/>
        <v>2</v>
      </c>
      <c r="P111" s="20">
        <f t="shared" si="46"/>
        <v>0.2</v>
      </c>
      <c r="Q111" s="20">
        <f t="shared" si="47"/>
        <v>2.625</v>
      </c>
      <c r="R111" s="21" t="s">
        <v>268</v>
      </c>
      <c r="U111" s="42" t="s">
        <v>200</v>
      </c>
      <c r="V111" s="24" t="s">
        <v>124</v>
      </c>
      <c r="Y111" s="31"/>
    </row>
    <row r="112" spans="1:25" x14ac:dyDescent="0.25">
      <c r="B112" s="1" t="s">
        <v>277</v>
      </c>
      <c r="C112" s="1" t="s">
        <v>622</v>
      </c>
      <c r="D112" s="2">
        <v>3</v>
      </c>
      <c r="E112" s="2" t="s">
        <v>59</v>
      </c>
      <c r="F112" s="2">
        <v>3</v>
      </c>
      <c r="G112" s="2">
        <v>3</v>
      </c>
      <c r="H112" s="2">
        <v>2</v>
      </c>
      <c r="I112" s="2">
        <v>0</v>
      </c>
      <c r="J112" s="7">
        <f t="shared" si="40"/>
        <v>1.6666666666666667</v>
      </c>
      <c r="K112" s="7">
        <f t="shared" si="41"/>
        <v>1</v>
      </c>
      <c r="L112" s="20">
        <f t="shared" si="42"/>
        <v>0.66666666666666663</v>
      </c>
      <c r="M112" s="20">
        <f t="shared" si="43"/>
        <v>0</v>
      </c>
      <c r="N112" s="20">
        <f t="shared" si="44"/>
        <v>1</v>
      </c>
      <c r="O112" s="20">
        <f t="shared" si="45"/>
        <v>3</v>
      </c>
      <c r="P112" s="20">
        <f t="shared" si="46"/>
        <v>1</v>
      </c>
      <c r="Q112" s="20">
        <f t="shared" si="47"/>
        <v>1.6666666666666665</v>
      </c>
      <c r="T112" s="29" t="s">
        <v>278</v>
      </c>
      <c r="Y112" s="31"/>
    </row>
    <row r="113" spans="1:25" x14ac:dyDescent="0.25">
      <c r="B113" s="1" t="s">
        <v>261</v>
      </c>
      <c r="C113" s="1" t="s">
        <v>622</v>
      </c>
      <c r="D113" s="2">
        <v>5</v>
      </c>
      <c r="E113" s="2" t="s">
        <v>627</v>
      </c>
      <c r="F113" s="2">
        <v>3</v>
      </c>
      <c r="G113" s="2">
        <v>1</v>
      </c>
      <c r="H113" s="2">
        <v>4</v>
      </c>
      <c r="I113" s="2">
        <v>0</v>
      </c>
      <c r="J113" s="7">
        <f t="shared" si="40"/>
        <v>1.6666666666666667</v>
      </c>
      <c r="K113" s="7">
        <f t="shared" si="41"/>
        <v>0.33333333333333331</v>
      </c>
      <c r="L113" s="20">
        <f t="shared" si="42"/>
        <v>1.3333333333333333</v>
      </c>
      <c r="M113" s="20">
        <f t="shared" si="43"/>
        <v>0</v>
      </c>
      <c r="N113" s="20">
        <f t="shared" si="44"/>
        <v>0.33333333333333331</v>
      </c>
      <c r="O113" s="20">
        <f t="shared" si="45"/>
        <v>1</v>
      </c>
      <c r="P113" s="20">
        <f t="shared" si="46"/>
        <v>0.2</v>
      </c>
      <c r="Q113" s="20">
        <f t="shared" si="47"/>
        <v>1.6666666666666665</v>
      </c>
      <c r="T113" s="29" t="s">
        <v>262</v>
      </c>
      <c r="Y113" s="31"/>
    </row>
    <row r="114" spans="1:25" x14ac:dyDescent="0.25">
      <c r="B114" s="1" t="s">
        <v>226</v>
      </c>
      <c r="C114" s="1" t="s">
        <v>167</v>
      </c>
      <c r="D114" s="2">
        <v>3</v>
      </c>
      <c r="E114" s="2" t="s">
        <v>42</v>
      </c>
      <c r="F114" s="2">
        <v>3</v>
      </c>
      <c r="G114" s="2">
        <v>1</v>
      </c>
      <c r="H114" s="2">
        <v>3</v>
      </c>
      <c r="I114" s="2">
        <v>0</v>
      </c>
      <c r="J114" s="7">
        <f t="shared" si="40"/>
        <v>1.3333333333333333</v>
      </c>
      <c r="K114" s="7">
        <f t="shared" si="41"/>
        <v>0.33333333333333331</v>
      </c>
      <c r="L114" s="20">
        <f t="shared" si="42"/>
        <v>1</v>
      </c>
      <c r="M114" s="20">
        <f t="shared" si="43"/>
        <v>0</v>
      </c>
      <c r="N114" s="20">
        <f t="shared" si="44"/>
        <v>0.33333333333333331</v>
      </c>
      <c r="O114" s="20">
        <f t="shared" si="45"/>
        <v>1</v>
      </c>
      <c r="P114" s="20">
        <f t="shared" si="46"/>
        <v>0.33333333333333331</v>
      </c>
      <c r="Q114" s="20">
        <f t="shared" si="47"/>
        <v>1.3333333333333333</v>
      </c>
      <c r="U114" s="42" t="s">
        <v>75</v>
      </c>
      <c r="Y114" s="31"/>
    </row>
    <row r="115" spans="1:25" x14ac:dyDescent="0.25">
      <c r="B115" s="1" t="s">
        <v>184</v>
      </c>
      <c r="C115" s="1" t="s">
        <v>167</v>
      </c>
      <c r="D115" s="2">
        <v>2</v>
      </c>
      <c r="E115" s="2" t="s">
        <v>16</v>
      </c>
      <c r="F115" s="2">
        <v>2</v>
      </c>
      <c r="G115" s="2">
        <v>2</v>
      </c>
      <c r="H115" s="2">
        <v>4</v>
      </c>
      <c r="I115" s="2">
        <v>0</v>
      </c>
      <c r="J115" s="7">
        <f t="shared" si="40"/>
        <v>3</v>
      </c>
      <c r="K115" s="7">
        <f t="shared" si="41"/>
        <v>1</v>
      </c>
      <c r="L115" s="20">
        <f t="shared" si="42"/>
        <v>2</v>
      </c>
      <c r="M115" s="20">
        <f t="shared" si="43"/>
        <v>0</v>
      </c>
      <c r="N115" s="20">
        <f t="shared" si="44"/>
        <v>1</v>
      </c>
      <c r="O115" s="20">
        <f t="shared" si="45"/>
        <v>2</v>
      </c>
      <c r="P115" s="20">
        <f t="shared" si="46"/>
        <v>1</v>
      </c>
      <c r="Q115" s="20">
        <f t="shared" si="47"/>
        <v>3</v>
      </c>
      <c r="U115" s="42" t="s">
        <v>19</v>
      </c>
      <c r="Y115" s="31"/>
    </row>
    <row r="116" spans="1:25" x14ac:dyDescent="0.25">
      <c r="B116" s="1" t="s">
        <v>320</v>
      </c>
      <c r="C116" s="1" t="s">
        <v>167</v>
      </c>
      <c r="D116" s="2">
        <v>1</v>
      </c>
      <c r="E116" s="2" t="s">
        <v>59</v>
      </c>
      <c r="F116" s="2">
        <v>4</v>
      </c>
      <c r="G116" s="2">
        <v>3</v>
      </c>
      <c r="H116" s="2">
        <v>3</v>
      </c>
      <c r="I116" s="2">
        <v>0</v>
      </c>
      <c r="J116" s="7">
        <f t="shared" si="40"/>
        <v>1.5</v>
      </c>
      <c r="K116" s="7">
        <f t="shared" si="41"/>
        <v>0.75</v>
      </c>
      <c r="L116" s="20">
        <f t="shared" si="42"/>
        <v>0.75</v>
      </c>
      <c r="M116" s="20">
        <f t="shared" si="43"/>
        <v>0</v>
      </c>
      <c r="N116" s="20">
        <f t="shared" si="44"/>
        <v>0.75</v>
      </c>
      <c r="O116" s="20">
        <f t="shared" si="45"/>
        <v>3</v>
      </c>
      <c r="P116" s="20">
        <f t="shared" si="46"/>
        <v>3</v>
      </c>
      <c r="Q116" s="20">
        <f t="shared" si="47"/>
        <v>1.5</v>
      </c>
      <c r="Y116" s="31"/>
    </row>
    <row r="117" spans="1:25" x14ac:dyDescent="0.25">
      <c r="B117" s="1" t="s">
        <v>183</v>
      </c>
      <c r="C117" s="1" t="s">
        <v>167</v>
      </c>
      <c r="D117" s="2">
        <v>1</v>
      </c>
      <c r="E117" s="2" t="s">
        <v>16</v>
      </c>
      <c r="F117" s="2">
        <v>1</v>
      </c>
      <c r="G117" s="2">
        <v>2</v>
      </c>
      <c r="H117" s="2">
        <v>2</v>
      </c>
      <c r="I117" s="2">
        <v>0</v>
      </c>
      <c r="J117" s="7">
        <f t="shared" si="40"/>
        <v>4</v>
      </c>
      <c r="K117" s="7">
        <f t="shared" si="41"/>
        <v>2</v>
      </c>
      <c r="L117" s="20">
        <f t="shared" si="42"/>
        <v>2</v>
      </c>
      <c r="M117" s="20">
        <f t="shared" si="43"/>
        <v>0</v>
      </c>
      <c r="N117" s="20">
        <f t="shared" si="44"/>
        <v>2</v>
      </c>
      <c r="O117" s="20">
        <f t="shared" si="45"/>
        <v>2</v>
      </c>
      <c r="P117" s="20">
        <f t="shared" si="46"/>
        <v>2</v>
      </c>
      <c r="Q117" s="20">
        <f t="shared" si="47"/>
        <v>4</v>
      </c>
      <c r="Y117" s="31"/>
    </row>
    <row r="118" spans="1:25" x14ac:dyDescent="0.25">
      <c r="B118" s="1" t="s">
        <v>317</v>
      </c>
      <c r="C118" s="1" t="s">
        <v>621</v>
      </c>
      <c r="D118" s="2">
        <v>1</v>
      </c>
      <c r="E118" s="2" t="s">
        <v>42</v>
      </c>
      <c r="F118" s="2">
        <v>1</v>
      </c>
      <c r="G118" s="2">
        <v>1</v>
      </c>
      <c r="H118" s="2">
        <v>2</v>
      </c>
      <c r="I118" s="2">
        <v>0</v>
      </c>
      <c r="J118" s="7">
        <f t="shared" si="40"/>
        <v>3</v>
      </c>
      <c r="K118" s="7">
        <f t="shared" si="41"/>
        <v>1</v>
      </c>
      <c r="L118" s="20">
        <f t="shared" si="42"/>
        <v>2</v>
      </c>
      <c r="M118" s="20">
        <f t="shared" si="43"/>
        <v>0</v>
      </c>
      <c r="N118" s="20">
        <f t="shared" si="44"/>
        <v>1</v>
      </c>
      <c r="O118" s="20">
        <f t="shared" si="45"/>
        <v>1</v>
      </c>
      <c r="P118" s="20">
        <f t="shared" si="46"/>
        <v>1</v>
      </c>
      <c r="Q118" s="20">
        <f t="shared" si="47"/>
        <v>3</v>
      </c>
      <c r="Y118" s="31"/>
    </row>
    <row r="119" spans="1:25" x14ac:dyDescent="0.25">
      <c r="B119" s="1" t="s">
        <v>298</v>
      </c>
      <c r="C119" s="1" t="s">
        <v>622</v>
      </c>
      <c r="D119" s="2">
        <v>10</v>
      </c>
      <c r="E119" s="2" t="s">
        <v>42</v>
      </c>
      <c r="F119" s="2">
        <v>12</v>
      </c>
      <c r="G119" s="2">
        <v>4</v>
      </c>
      <c r="H119" s="2">
        <v>9</v>
      </c>
      <c r="I119" s="2">
        <v>-3</v>
      </c>
      <c r="J119" s="7">
        <f t="shared" si="40"/>
        <v>0.83333333333333337</v>
      </c>
      <c r="K119" s="7">
        <f t="shared" si="41"/>
        <v>0.33333333333333331</v>
      </c>
      <c r="L119" s="20">
        <f t="shared" si="42"/>
        <v>0.75</v>
      </c>
      <c r="M119" s="20">
        <f t="shared" si="43"/>
        <v>-0.25</v>
      </c>
      <c r="N119" s="20">
        <f t="shared" si="44"/>
        <v>8.3333333333333329E-2</v>
      </c>
      <c r="O119" s="20">
        <f t="shared" si="45"/>
        <v>1</v>
      </c>
      <c r="P119" s="20">
        <f t="shared" si="46"/>
        <v>0.1</v>
      </c>
      <c r="Q119" s="20">
        <f t="shared" si="47"/>
        <v>1.0833333333333333</v>
      </c>
      <c r="T119" s="29" t="s">
        <v>299</v>
      </c>
      <c r="V119" s="24" t="s">
        <v>300</v>
      </c>
      <c r="Y119" s="31"/>
    </row>
    <row r="120" spans="1:25" x14ac:dyDescent="0.25">
      <c r="B120" s="1" t="s">
        <v>185</v>
      </c>
      <c r="C120" s="1" t="s">
        <v>167</v>
      </c>
      <c r="D120" s="2">
        <v>3</v>
      </c>
      <c r="E120" s="2" t="s">
        <v>16</v>
      </c>
      <c r="F120" s="2">
        <v>1</v>
      </c>
      <c r="G120" s="2">
        <v>1</v>
      </c>
      <c r="H120" s="2">
        <v>3</v>
      </c>
      <c r="I120" s="2">
        <v>1</v>
      </c>
      <c r="J120" s="7">
        <f t="shared" si="40"/>
        <v>5</v>
      </c>
      <c r="K120" s="7">
        <f t="shared" si="41"/>
        <v>1</v>
      </c>
      <c r="L120" s="20">
        <f t="shared" si="42"/>
        <v>3</v>
      </c>
      <c r="M120" s="20">
        <f t="shared" si="43"/>
        <v>1</v>
      </c>
      <c r="N120" s="20">
        <f t="shared" si="44"/>
        <v>2</v>
      </c>
      <c r="O120" s="20">
        <f t="shared" si="45"/>
        <v>2</v>
      </c>
      <c r="P120" s="20">
        <f t="shared" si="46"/>
        <v>0.66666666666666663</v>
      </c>
      <c r="Q120" s="20">
        <f t="shared" si="47"/>
        <v>4</v>
      </c>
      <c r="R120" s="21" t="s">
        <v>7</v>
      </c>
      <c r="U120" s="42" t="s">
        <v>187</v>
      </c>
      <c r="Y120" s="31"/>
    </row>
    <row r="121" spans="1:25" x14ac:dyDescent="0.25">
      <c r="B121" s="1" t="s">
        <v>539</v>
      </c>
      <c r="C121" s="1" t="s">
        <v>622</v>
      </c>
      <c r="D121" s="2">
        <v>2</v>
      </c>
      <c r="E121" s="2" t="s">
        <v>540</v>
      </c>
      <c r="F121" s="2">
        <v>4</v>
      </c>
      <c r="G121" s="2">
        <v>3</v>
      </c>
      <c r="H121" s="2">
        <v>6</v>
      </c>
      <c r="I121" s="2">
        <v>0</v>
      </c>
      <c r="J121" s="7">
        <f t="shared" si="40"/>
        <v>2.25</v>
      </c>
      <c r="K121" s="7">
        <f t="shared" si="41"/>
        <v>0.75</v>
      </c>
      <c r="L121" s="20">
        <f t="shared" si="42"/>
        <v>1.5</v>
      </c>
      <c r="M121" s="20">
        <f t="shared" si="43"/>
        <v>0</v>
      </c>
      <c r="N121" s="20">
        <f t="shared" si="44"/>
        <v>0.75</v>
      </c>
      <c r="O121" s="20">
        <f t="shared" si="45"/>
        <v>3</v>
      </c>
      <c r="P121" s="20">
        <f t="shared" si="46"/>
        <v>1.5</v>
      </c>
      <c r="Q121" s="20">
        <f t="shared" si="47"/>
        <v>2.25</v>
      </c>
      <c r="R121" s="21" t="s">
        <v>541</v>
      </c>
      <c r="T121" s="29" t="s">
        <v>56</v>
      </c>
    </row>
    <row r="122" spans="1:25" x14ac:dyDescent="0.25">
      <c r="B122" s="1" t="s">
        <v>542</v>
      </c>
      <c r="C122" s="1" t="s">
        <v>622</v>
      </c>
      <c r="D122" s="2">
        <v>3</v>
      </c>
      <c r="E122" s="2" t="s">
        <v>540</v>
      </c>
      <c r="F122" s="2">
        <v>4</v>
      </c>
      <c r="G122" s="2">
        <v>1</v>
      </c>
      <c r="H122" s="2">
        <v>7</v>
      </c>
      <c r="I122" s="2">
        <v>1</v>
      </c>
      <c r="J122" s="7">
        <f t="shared" si="40"/>
        <v>2.25</v>
      </c>
      <c r="K122" s="7">
        <f t="shared" si="41"/>
        <v>0.25</v>
      </c>
      <c r="L122" s="20">
        <f t="shared" si="42"/>
        <v>1.75</v>
      </c>
      <c r="M122" s="20">
        <f t="shared" si="43"/>
        <v>0.25</v>
      </c>
      <c r="N122" s="20">
        <f t="shared" si="44"/>
        <v>0.5</v>
      </c>
      <c r="O122" s="20">
        <f t="shared" si="45"/>
        <v>2</v>
      </c>
      <c r="P122" s="20">
        <f t="shared" si="46"/>
        <v>0.66666666666666663</v>
      </c>
      <c r="Q122" s="20">
        <f t="shared" si="47"/>
        <v>2</v>
      </c>
      <c r="T122" s="29" t="s">
        <v>190</v>
      </c>
    </row>
    <row r="123" spans="1:25" x14ac:dyDescent="0.25">
      <c r="B123" s="1" t="s">
        <v>543</v>
      </c>
      <c r="C123" s="1" t="s">
        <v>622</v>
      </c>
      <c r="D123" s="2">
        <v>4</v>
      </c>
      <c r="E123" s="2" t="s">
        <v>565</v>
      </c>
      <c r="F123" s="2">
        <v>8</v>
      </c>
      <c r="G123" s="2">
        <v>2</v>
      </c>
      <c r="H123" s="2">
        <v>7</v>
      </c>
      <c r="I123" s="2">
        <v>0</v>
      </c>
      <c r="J123" s="7">
        <f t="shared" si="40"/>
        <v>1.125</v>
      </c>
      <c r="K123" s="7">
        <f t="shared" si="41"/>
        <v>0.25</v>
      </c>
      <c r="L123" s="20">
        <f t="shared" si="42"/>
        <v>0.875</v>
      </c>
      <c r="M123" s="20">
        <f t="shared" si="43"/>
        <v>0</v>
      </c>
      <c r="N123" s="20">
        <f t="shared" si="44"/>
        <v>0.25</v>
      </c>
      <c r="O123" s="20">
        <f t="shared" si="45"/>
        <v>2</v>
      </c>
      <c r="P123" s="20">
        <f t="shared" si="46"/>
        <v>0.5</v>
      </c>
      <c r="Q123" s="20">
        <f t="shared" si="47"/>
        <v>1.125</v>
      </c>
      <c r="T123" s="29" t="s">
        <v>687</v>
      </c>
    </row>
    <row r="124" spans="1:25" x14ac:dyDescent="0.25">
      <c r="B124" s="1" t="s">
        <v>544</v>
      </c>
      <c r="C124" s="1" t="s">
        <v>622</v>
      </c>
      <c r="D124" s="2">
        <v>5</v>
      </c>
      <c r="E124" s="2" t="s">
        <v>565</v>
      </c>
      <c r="F124" s="2">
        <v>4</v>
      </c>
      <c r="G124" s="2">
        <v>1</v>
      </c>
      <c r="H124" s="2">
        <v>1</v>
      </c>
      <c r="I124" s="2">
        <v>0</v>
      </c>
      <c r="J124" s="7">
        <f t="shared" si="40"/>
        <v>0.5</v>
      </c>
      <c r="K124" s="7">
        <f t="shared" si="41"/>
        <v>0.25</v>
      </c>
      <c r="L124" s="20">
        <f t="shared" si="42"/>
        <v>0.25</v>
      </c>
      <c r="M124" s="20">
        <f t="shared" si="43"/>
        <v>0</v>
      </c>
      <c r="N124" s="20">
        <f t="shared" si="44"/>
        <v>0.25</v>
      </c>
      <c r="O124" s="20">
        <f t="shared" si="45"/>
        <v>1</v>
      </c>
      <c r="P124" s="20">
        <f t="shared" si="46"/>
        <v>0.2</v>
      </c>
      <c r="Q124" s="20">
        <f t="shared" si="47"/>
        <v>0.5</v>
      </c>
      <c r="R124" s="21" t="s">
        <v>553</v>
      </c>
      <c r="T124" s="29" t="s">
        <v>599</v>
      </c>
    </row>
    <row r="125" spans="1:25" x14ac:dyDescent="0.25">
      <c r="B125" s="1" t="s">
        <v>559</v>
      </c>
      <c r="C125" s="1" t="s">
        <v>622</v>
      </c>
      <c r="D125" s="2">
        <v>6</v>
      </c>
      <c r="E125" s="2" t="s">
        <v>565</v>
      </c>
      <c r="F125" s="2">
        <v>5</v>
      </c>
      <c r="G125" s="2">
        <v>1</v>
      </c>
      <c r="H125" s="2">
        <v>5</v>
      </c>
      <c r="I125" s="2">
        <v>0</v>
      </c>
      <c r="J125" s="7">
        <f t="shared" si="40"/>
        <v>1.2</v>
      </c>
      <c r="K125" s="7">
        <f t="shared" si="41"/>
        <v>0.2</v>
      </c>
      <c r="L125" s="20">
        <f t="shared" si="42"/>
        <v>1</v>
      </c>
      <c r="M125" s="20">
        <f t="shared" si="43"/>
        <v>0</v>
      </c>
      <c r="N125" s="20">
        <f t="shared" si="44"/>
        <v>0.2</v>
      </c>
      <c r="O125" s="20">
        <f t="shared" si="45"/>
        <v>1</v>
      </c>
      <c r="P125" s="20">
        <f t="shared" si="46"/>
        <v>0.16666666666666666</v>
      </c>
      <c r="Q125" s="20">
        <f t="shared" si="47"/>
        <v>1.2</v>
      </c>
      <c r="T125" s="29" t="s">
        <v>560</v>
      </c>
    </row>
    <row r="126" spans="1:25" x14ac:dyDescent="0.25">
      <c r="B126" s="1" t="s">
        <v>561</v>
      </c>
      <c r="C126" s="1" t="s">
        <v>622</v>
      </c>
      <c r="D126" s="2">
        <v>7</v>
      </c>
      <c r="E126" s="2" t="s">
        <v>540</v>
      </c>
      <c r="F126" s="2">
        <v>4</v>
      </c>
      <c r="G126" s="2">
        <v>2</v>
      </c>
      <c r="H126" s="2">
        <v>8</v>
      </c>
      <c r="I126" s="2">
        <v>1</v>
      </c>
      <c r="J126" s="7">
        <f t="shared" si="40"/>
        <v>2.75</v>
      </c>
      <c r="K126" s="7">
        <f t="shared" si="41"/>
        <v>0.5</v>
      </c>
      <c r="L126" s="20">
        <f t="shared" si="42"/>
        <v>2</v>
      </c>
      <c r="M126" s="20">
        <f t="shared" si="43"/>
        <v>0.25</v>
      </c>
      <c r="N126" s="20">
        <f t="shared" si="44"/>
        <v>0.75</v>
      </c>
      <c r="O126" s="20">
        <f t="shared" si="45"/>
        <v>3</v>
      </c>
      <c r="P126" s="20">
        <f t="shared" si="46"/>
        <v>0.42857142857142855</v>
      </c>
      <c r="Q126" s="20">
        <f t="shared" si="47"/>
        <v>2.5</v>
      </c>
      <c r="R126" s="21" t="s">
        <v>593</v>
      </c>
      <c r="T126" s="29" t="s">
        <v>588</v>
      </c>
    </row>
    <row r="127" spans="1:25" x14ac:dyDescent="0.25">
      <c r="B127" s="1" t="s">
        <v>564</v>
      </c>
      <c r="C127" s="1" t="s">
        <v>622</v>
      </c>
      <c r="D127" s="2">
        <v>8</v>
      </c>
      <c r="E127" s="2" t="s">
        <v>565</v>
      </c>
      <c r="F127" s="2">
        <v>8</v>
      </c>
      <c r="G127" s="2">
        <v>3</v>
      </c>
      <c r="H127" s="2">
        <v>10</v>
      </c>
      <c r="I127" s="2">
        <v>0</v>
      </c>
      <c r="J127" s="7">
        <f t="shared" si="40"/>
        <v>1.625</v>
      </c>
      <c r="K127" s="7">
        <f t="shared" si="41"/>
        <v>0.375</v>
      </c>
      <c r="L127" s="20">
        <f t="shared" si="42"/>
        <v>1.25</v>
      </c>
      <c r="M127" s="20">
        <f t="shared" si="43"/>
        <v>0</v>
      </c>
      <c r="N127" s="20">
        <f t="shared" si="44"/>
        <v>0.375</v>
      </c>
      <c r="O127" s="20">
        <f t="shared" si="45"/>
        <v>3</v>
      </c>
      <c r="P127" s="20">
        <f t="shared" si="46"/>
        <v>0.375</v>
      </c>
      <c r="Q127" s="20">
        <f t="shared" si="47"/>
        <v>1.625</v>
      </c>
      <c r="T127" s="29" t="s">
        <v>56</v>
      </c>
      <c r="V127" s="24" t="s">
        <v>592</v>
      </c>
    </row>
    <row r="128" spans="1:25" x14ac:dyDescent="0.25">
      <c r="A128" s="1" t="s">
        <v>372</v>
      </c>
      <c r="B128" s="1" t="s">
        <v>566</v>
      </c>
      <c r="C128" s="1" t="s">
        <v>621</v>
      </c>
      <c r="D128" s="2">
        <v>2</v>
      </c>
      <c r="E128" s="2" t="s">
        <v>565</v>
      </c>
      <c r="F128" s="2">
        <v>1</v>
      </c>
      <c r="G128" s="2">
        <v>1</v>
      </c>
      <c r="H128" s="2">
        <v>4</v>
      </c>
      <c r="I128" s="2">
        <v>0</v>
      </c>
      <c r="J128" s="7">
        <f t="shared" si="40"/>
        <v>5</v>
      </c>
      <c r="K128" s="7">
        <f t="shared" si="41"/>
        <v>1</v>
      </c>
      <c r="L128" s="20">
        <f t="shared" si="42"/>
        <v>4</v>
      </c>
      <c r="M128" s="20">
        <f t="shared" si="43"/>
        <v>0</v>
      </c>
      <c r="N128" s="20">
        <f t="shared" si="44"/>
        <v>1</v>
      </c>
      <c r="O128" s="20">
        <f t="shared" si="45"/>
        <v>1</v>
      </c>
      <c r="P128" s="20">
        <f t="shared" si="46"/>
        <v>0.5</v>
      </c>
      <c r="Q128" s="20">
        <f t="shared" si="47"/>
        <v>5</v>
      </c>
      <c r="S128" s="22" t="s">
        <v>122</v>
      </c>
    </row>
    <row r="129" spans="1:24" x14ac:dyDescent="0.25">
      <c r="B129" s="1" t="s">
        <v>567</v>
      </c>
      <c r="C129" s="1" t="s">
        <v>621</v>
      </c>
      <c r="D129" s="2">
        <v>3</v>
      </c>
      <c r="E129" s="2" t="s">
        <v>565</v>
      </c>
      <c r="F129" s="2">
        <v>5</v>
      </c>
      <c r="G129" s="2">
        <v>2</v>
      </c>
      <c r="H129" s="2">
        <v>7</v>
      </c>
      <c r="I129" s="2">
        <v>0</v>
      </c>
      <c r="J129" s="7">
        <f t="shared" si="40"/>
        <v>1.8</v>
      </c>
      <c r="K129" s="7">
        <f t="shared" si="41"/>
        <v>0.4</v>
      </c>
      <c r="L129" s="20">
        <f t="shared" si="42"/>
        <v>1.4</v>
      </c>
      <c r="M129" s="20">
        <f t="shared" si="43"/>
        <v>0</v>
      </c>
      <c r="N129" s="20">
        <f t="shared" si="44"/>
        <v>0.4</v>
      </c>
      <c r="O129" s="20">
        <f t="shared" si="45"/>
        <v>2</v>
      </c>
      <c r="P129" s="20">
        <f t="shared" si="46"/>
        <v>0.66666666666666663</v>
      </c>
      <c r="Q129" s="20">
        <f t="shared" si="47"/>
        <v>1.7999999999999998</v>
      </c>
      <c r="S129" s="22" t="s">
        <v>591</v>
      </c>
    </row>
    <row r="130" spans="1:24" x14ac:dyDescent="0.25">
      <c r="B130" s="1" t="s">
        <v>229</v>
      </c>
      <c r="C130" s="1" t="s">
        <v>167</v>
      </c>
      <c r="D130" s="2">
        <v>5</v>
      </c>
      <c r="E130" s="2" t="s">
        <v>42</v>
      </c>
      <c r="F130" s="2">
        <v>4</v>
      </c>
      <c r="G130" s="2">
        <v>2</v>
      </c>
      <c r="H130" s="2">
        <v>4</v>
      </c>
      <c r="I130" s="2">
        <v>0</v>
      </c>
      <c r="J130" s="7">
        <f t="shared" si="40"/>
        <v>1.5</v>
      </c>
      <c r="K130" s="7">
        <f t="shared" si="41"/>
        <v>0.5</v>
      </c>
      <c r="L130" s="20">
        <f t="shared" si="42"/>
        <v>1</v>
      </c>
      <c r="M130" s="20">
        <f t="shared" si="43"/>
        <v>0</v>
      </c>
      <c r="N130" s="20">
        <f t="shared" si="44"/>
        <v>0.5</v>
      </c>
      <c r="O130" s="20">
        <f t="shared" si="45"/>
        <v>2</v>
      </c>
      <c r="P130" s="20">
        <f t="shared" si="46"/>
        <v>0.4</v>
      </c>
      <c r="Q130" s="20">
        <f t="shared" si="47"/>
        <v>1.5</v>
      </c>
      <c r="U130" s="42" t="s">
        <v>47</v>
      </c>
    </row>
    <row r="131" spans="1:24" x14ac:dyDescent="0.25">
      <c r="A131" s="1" t="s">
        <v>372</v>
      </c>
      <c r="B131" s="1" t="s">
        <v>569</v>
      </c>
      <c r="C131" s="1" t="s">
        <v>621</v>
      </c>
      <c r="D131" s="2">
        <v>5</v>
      </c>
      <c r="E131" s="2" t="s">
        <v>540</v>
      </c>
      <c r="F131" s="2">
        <v>3</v>
      </c>
      <c r="G131" s="2">
        <v>1</v>
      </c>
      <c r="H131" s="2">
        <v>7</v>
      </c>
      <c r="I131" s="2">
        <v>0</v>
      </c>
      <c r="J131" s="7">
        <f t="shared" si="40"/>
        <v>2.6666666666666665</v>
      </c>
      <c r="K131" s="7">
        <f t="shared" si="41"/>
        <v>0.33333333333333331</v>
      </c>
      <c r="L131" s="20">
        <f t="shared" si="42"/>
        <v>2.3333333333333335</v>
      </c>
      <c r="M131" s="20">
        <f t="shared" si="43"/>
        <v>0</v>
      </c>
      <c r="N131" s="20">
        <f t="shared" si="44"/>
        <v>0.33333333333333331</v>
      </c>
      <c r="O131" s="20">
        <f t="shared" si="45"/>
        <v>1</v>
      </c>
      <c r="P131" s="20">
        <f t="shared" si="46"/>
        <v>0.2</v>
      </c>
      <c r="Q131" s="20">
        <f t="shared" si="47"/>
        <v>2.666666666666667</v>
      </c>
      <c r="S131" s="22" t="s">
        <v>590</v>
      </c>
    </row>
    <row r="132" spans="1:24" x14ac:dyDescent="0.25">
      <c r="A132" s="1" t="s">
        <v>372</v>
      </c>
      <c r="B132" s="1" t="s">
        <v>570</v>
      </c>
      <c r="C132" s="1" t="s">
        <v>621</v>
      </c>
      <c r="D132" s="2">
        <v>6</v>
      </c>
      <c r="E132" s="2" t="s">
        <v>540</v>
      </c>
      <c r="F132" s="2">
        <v>4</v>
      </c>
      <c r="G132" s="2">
        <v>1</v>
      </c>
      <c r="H132" s="2">
        <v>2</v>
      </c>
      <c r="I132" s="2">
        <v>0</v>
      </c>
      <c r="J132" s="7">
        <f t="shared" si="40"/>
        <v>0.75</v>
      </c>
      <c r="K132" s="7">
        <f t="shared" si="41"/>
        <v>0.25</v>
      </c>
      <c r="L132" s="20">
        <f t="shared" si="42"/>
        <v>0.5</v>
      </c>
      <c r="M132" s="20">
        <f t="shared" si="43"/>
        <v>0</v>
      </c>
      <c r="N132" s="20">
        <f t="shared" si="44"/>
        <v>0.25</v>
      </c>
      <c r="O132" s="20">
        <f t="shared" si="45"/>
        <v>1</v>
      </c>
      <c r="P132" s="20">
        <f t="shared" si="46"/>
        <v>0.16666666666666666</v>
      </c>
      <c r="Q132" s="20">
        <f t="shared" si="47"/>
        <v>0.75</v>
      </c>
      <c r="R132" s="21" t="s">
        <v>576</v>
      </c>
      <c r="S132" s="22" t="s">
        <v>55</v>
      </c>
    </row>
    <row r="133" spans="1:24" x14ac:dyDescent="0.25">
      <c r="A133" s="1" t="s">
        <v>372</v>
      </c>
      <c r="B133" s="1" t="s">
        <v>571</v>
      </c>
      <c r="C133" s="1" t="s">
        <v>621</v>
      </c>
      <c r="D133" s="2">
        <v>7</v>
      </c>
      <c r="E133" s="2" t="s">
        <v>565</v>
      </c>
      <c r="F133" s="2">
        <v>8</v>
      </c>
      <c r="G133" s="2">
        <v>2</v>
      </c>
      <c r="H133" s="2">
        <v>8</v>
      </c>
      <c r="I133" s="2">
        <v>0</v>
      </c>
      <c r="J133" s="7">
        <f t="shared" si="40"/>
        <v>1.25</v>
      </c>
      <c r="K133" s="7">
        <f t="shared" si="41"/>
        <v>0.25</v>
      </c>
      <c r="L133" s="20">
        <f t="shared" si="42"/>
        <v>1</v>
      </c>
      <c r="M133" s="20">
        <f t="shared" si="43"/>
        <v>0</v>
      </c>
      <c r="N133" s="20">
        <f t="shared" si="44"/>
        <v>0.25</v>
      </c>
      <c r="O133" s="20">
        <f t="shared" si="45"/>
        <v>2</v>
      </c>
      <c r="P133" s="20">
        <f t="shared" si="46"/>
        <v>0.2857142857142857</v>
      </c>
      <c r="Q133" s="20">
        <f t="shared" si="47"/>
        <v>1.25</v>
      </c>
      <c r="S133" s="22" t="s">
        <v>601</v>
      </c>
    </row>
    <row r="134" spans="1:24" x14ac:dyDescent="0.25">
      <c r="B134" s="1" t="s">
        <v>572</v>
      </c>
      <c r="C134" s="1" t="s">
        <v>621</v>
      </c>
      <c r="D134" s="2">
        <v>8</v>
      </c>
      <c r="E134" s="2" t="s">
        <v>540</v>
      </c>
      <c r="F134" s="2">
        <v>6</v>
      </c>
      <c r="G134" s="2">
        <v>2</v>
      </c>
      <c r="H134" s="2">
        <v>12</v>
      </c>
      <c r="I134" s="2">
        <v>0</v>
      </c>
      <c r="J134" s="7">
        <f t="shared" si="40"/>
        <v>2.3333333333333335</v>
      </c>
      <c r="K134" s="7">
        <f t="shared" si="41"/>
        <v>0.33333333333333331</v>
      </c>
      <c r="L134" s="20">
        <f t="shared" si="42"/>
        <v>2</v>
      </c>
      <c r="M134" s="20">
        <f t="shared" si="43"/>
        <v>0</v>
      </c>
      <c r="N134" s="20">
        <f t="shared" si="44"/>
        <v>0.33333333333333331</v>
      </c>
      <c r="O134" s="20">
        <f t="shared" si="45"/>
        <v>2</v>
      </c>
      <c r="P134" s="20">
        <f t="shared" si="46"/>
        <v>0.25</v>
      </c>
      <c r="Q134" s="20">
        <f t="shared" si="47"/>
        <v>2.3333333333333335</v>
      </c>
      <c r="S134" s="22" t="s">
        <v>602</v>
      </c>
      <c r="X134" s="26" t="s">
        <v>603</v>
      </c>
    </row>
    <row r="135" spans="1:24" x14ac:dyDescent="0.25">
      <c r="B135" s="1" t="s">
        <v>604</v>
      </c>
      <c r="C135" s="1" t="s">
        <v>167</v>
      </c>
      <c r="D135" s="2">
        <v>2</v>
      </c>
      <c r="E135" s="2" t="s">
        <v>540</v>
      </c>
      <c r="F135" s="2">
        <v>2</v>
      </c>
      <c r="G135" s="2">
        <v>1</v>
      </c>
      <c r="H135" s="2">
        <v>6</v>
      </c>
      <c r="I135" s="2">
        <v>0</v>
      </c>
      <c r="J135" s="7">
        <f t="shared" si="40"/>
        <v>3.5</v>
      </c>
      <c r="K135" s="7">
        <f t="shared" si="41"/>
        <v>0.5</v>
      </c>
      <c r="L135" s="20">
        <f t="shared" si="42"/>
        <v>3</v>
      </c>
      <c r="M135" s="20">
        <f t="shared" si="43"/>
        <v>0</v>
      </c>
      <c r="N135" s="20">
        <f t="shared" si="44"/>
        <v>0.5</v>
      </c>
      <c r="O135" s="20">
        <f t="shared" si="45"/>
        <v>1</v>
      </c>
      <c r="P135" s="20">
        <f t="shared" si="46"/>
        <v>0.5</v>
      </c>
      <c r="Q135" s="20">
        <f t="shared" si="47"/>
        <v>3.5</v>
      </c>
      <c r="U135" s="42" t="s">
        <v>55</v>
      </c>
    </row>
    <row r="136" spans="1:24" x14ac:dyDescent="0.25">
      <c r="B136" s="1" t="s">
        <v>605</v>
      </c>
      <c r="C136" s="1" t="s">
        <v>167</v>
      </c>
      <c r="D136" s="2">
        <v>3</v>
      </c>
      <c r="E136" s="2" t="s">
        <v>565</v>
      </c>
      <c r="F136" s="2">
        <v>2</v>
      </c>
      <c r="G136" s="2">
        <v>1</v>
      </c>
      <c r="H136" s="2">
        <v>4</v>
      </c>
      <c r="I136" s="2">
        <v>0</v>
      </c>
      <c r="J136" s="7">
        <f t="shared" si="40"/>
        <v>2.5</v>
      </c>
      <c r="K136" s="7">
        <f t="shared" si="41"/>
        <v>0.5</v>
      </c>
      <c r="L136" s="20">
        <f t="shared" si="42"/>
        <v>2</v>
      </c>
      <c r="M136" s="20">
        <f t="shared" si="43"/>
        <v>0</v>
      </c>
      <c r="N136" s="20">
        <f t="shared" si="44"/>
        <v>0.5</v>
      </c>
      <c r="O136" s="20">
        <f t="shared" si="45"/>
        <v>1</v>
      </c>
      <c r="P136" s="20">
        <f t="shared" si="46"/>
        <v>0.33333333333333331</v>
      </c>
      <c r="Q136" s="20">
        <f t="shared" si="47"/>
        <v>2.5</v>
      </c>
      <c r="U136" s="26" t="s">
        <v>606</v>
      </c>
    </row>
    <row r="137" spans="1:24" x14ac:dyDescent="0.25">
      <c r="B137" s="1" t="s">
        <v>607</v>
      </c>
      <c r="C137" s="1" t="s">
        <v>167</v>
      </c>
      <c r="D137" s="2">
        <v>4</v>
      </c>
      <c r="E137" s="2" t="s">
        <v>540</v>
      </c>
      <c r="F137" s="2">
        <v>3</v>
      </c>
      <c r="G137" s="2">
        <v>2</v>
      </c>
      <c r="H137" s="2">
        <v>8</v>
      </c>
      <c r="I137" s="2">
        <v>0</v>
      </c>
      <c r="J137" s="7">
        <f t="shared" si="40"/>
        <v>3.3333333333333335</v>
      </c>
      <c r="K137" s="7">
        <f t="shared" si="41"/>
        <v>0.66666666666666663</v>
      </c>
      <c r="L137" s="20">
        <f t="shared" si="42"/>
        <v>2.6666666666666665</v>
      </c>
      <c r="M137" s="20">
        <f t="shared" si="43"/>
        <v>0</v>
      </c>
      <c r="N137" s="20">
        <f t="shared" si="44"/>
        <v>0.66666666666666663</v>
      </c>
      <c r="O137" s="20">
        <f t="shared" si="45"/>
        <v>2</v>
      </c>
      <c r="P137" s="20">
        <f t="shared" si="46"/>
        <v>0.5</v>
      </c>
      <c r="Q137" s="20">
        <f t="shared" si="47"/>
        <v>3.333333333333333</v>
      </c>
      <c r="U137" s="42" t="s">
        <v>608</v>
      </c>
    </row>
    <row r="138" spans="1:24" x14ac:dyDescent="0.25">
      <c r="B138" s="1" t="s">
        <v>609</v>
      </c>
      <c r="C138" s="1" t="s">
        <v>167</v>
      </c>
      <c r="D138" s="2">
        <v>5</v>
      </c>
      <c r="E138" s="2" t="s">
        <v>540</v>
      </c>
      <c r="F138" s="2">
        <v>6</v>
      </c>
      <c r="G138" s="2">
        <v>2</v>
      </c>
      <c r="H138" s="2">
        <v>9</v>
      </c>
      <c r="I138" s="2">
        <v>0</v>
      </c>
      <c r="J138" s="7">
        <f t="shared" si="40"/>
        <v>1.8333333333333333</v>
      </c>
      <c r="K138" s="7">
        <f t="shared" si="41"/>
        <v>0.33333333333333331</v>
      </c>
      <c r="L138" s="20">
        <f t="shared" si="42"/>
        <v>1.5</v>
      </c>
      <c r="M138" s="20">
        <f t="shared" si="43"/>
        <v>0</v>
      </c>
      <c r="N138" s="20">
        <f t="shared" si="44"/>
        <v>0.33333333333333331</v>
      </c>
      <c r="O138" s="20">
        <f t="shared" si="45"/>
        <v>2</v>
      </c>
      <c r="P138" s="20">
        <f t="shared" si="46"/>
        <v>0.4</v>
      </c>
      <c r="Q138" s="20">
        <f t="shared" si="47"/>
        <v>1.8333333333333333</v>
      </c>
      <c r="R138" s="21" t="s">
        <v>610</v>
      </c>
      <c r="U138" s="42" t="s">
        <v>47</v>
      </c>
    </row>
    <row r="139" spans="1:24" x14ac:dyDescent="0.25">
      <c r="B139" s="1" t="s">
        <v>611</v>
      </c>
      <c r="C139" s="1" t="s">
        <v>167</v>
      </c>
      <c r="D139" s="2">
        <v>6</v>
      </c>
      <c r="E139" s="2" t="s">
        <v>540</v>
      </c>
      <c r="F139" s="2">
        <v>5</v>
      </c>
      <c r="G139" s="2">
        <v>2</v>
      </c>
      <c r="H139" s="2">
        <v>4</v>
      </c>
      <c r="I139" s="2">
        <v>0</v>
      </c>
      <c r="J139" s="7">
        <f t="shared" si="40"/>
        <v>1.2</v>
      </c>
      <c r="K139" s="7">
        <f t="shared" si="41"/>
        <v>0.4</v>
      </c>
      <c r="L139" s="20">
        <f t="shared" si="42"/>
        <v>0.8</v>
      </c>
      <c r="M139" s="20">
        <f t="shared" si="43"/>
        <v>0</v>
      </c>
      <c r="N139" s="20">
        <f t="shared" si="44"/>
        <v>0.4</v>
      </c>
      <c r="O139" s="20">
        <f t="shared" si="45"/>
        <v>2</v>
      </c>
      <c r="P139" s="20">
        <f t="shared" si="46"/>
        <v>0.33333333333333331</v>
      </c>
      <c r="Q139" s="20">
        <f t="shared" si="47"/>
        <v>1.2000000000000002</v>
      </c>
      <c r="R139" s="21" t="s">
        <v>612</v>
      </c>
      <c r="U139" s="42" t="s">
        <v>43</v>
      </c>
    </row>
    <row r="140" spans="1:24" x14ac:dyDescent="0.25">
      <c r="B140" s="1" t="s">
        <v>613</v>
      </c>
      <c r="C140" s="1" t="s">
        <v>167</v>
      </c>
      <c r="D140" s="2">
        <v>7</v>
      </c>
      <c r="E140" s="2" t="s">
        <v>540</v>
      </c>
      <c r="F140" s="2">
        <v>2</v>
      </c>
      <c r="G140" s="2">
        <v>2</v>
      </c>
      <c r="H140" s="2">
        <v>5</v>
      </c>
      <c r="I140" s="2">
        <v>0</v>
      </c>
      <c r="J140" s="7">
        <f t="shared" si="40"/>
        <v>3.5</v>
      </c>
      <c r="K140" s="7">
        <f t="shared" si="41"/>
        <v>1</v>
      </c>
      <c r="L140" s="20">
        <f t="shared" si="42"/>
        <v>2.5</v>
      </c>
      <c r="M140" s="20">
        <f t="shared" si="43"/>
        <v>0</v>
      </c>
      <c r="N140" s="20">
        <f t="shared" si="44"/>
        <v>1</v>
      </c>
      <c r="O140" s="20">
        <f t="shared" si="45"/>
        <v>2</v>
      </c>
      <c r="P140" s="20">
        <f t="shared" si="46"/>
        <v>0.2857142857142857</v>
      </c>
      <c r="Q140" s="20">
        <f t="shared" si="47"/>
        <v>3.5</v>
      </c>
      <c r="R140" s="21" t="s">
        <v>615</v>
      </c>
      <c r="U140" s="42" t="s">
        <v>614</v>
      </c>
    </row>
    <row r="141" spans="1:24" x14ac:dyDescent="0.25">
      <c r="B141" s="1" t="s">
        <v>616</v>
      </c>
      <c r="C141" s="1" t="s">
        <v>167</v>
      </c>
      <c r="D141" s="2">
        <v>8</v>
      </c>
      <c r="E141" s="2" t="s">
        <v>540</v>
      </c>
      <c r="F141" s="2">
        <v>7</v>
      </c>
      <c r="G141" s="2">
        <v>2</v>
      </c>
      <c r="H141" s="2">
        <v>11</v>
      </c>
      <c r="I141" s="2">
        <v>0</v>
      </c>
      <c r="J141" s="7">
        <f t="shared" si="40"/>
        <v>1.8571428571428572</v>
      </c>
      <c r="K141" s="7">
        <f t="shared" si="41"/>
        <v>0.2857142857142857</v>
      </c>
      <c r="L141" s="20">
        <f t="shared" si="42"/>
        <v>1.5714285714285714</v>
      </c>
      <c r="M141" s="20">
        <f t="shared" si="43"/>
        <v>0</v>
      </c>
      <c r="N141" s="20">
        <f t="shared" si="44"/>
        <v>0.2857142857142857</v>
      </c>
      <c r="O141" s="20">
        <f t="shared" si="45"/>
        <v>2</v>
      </c>
      <c r="P141" s="20">
        <f t="shared" si="46"/>
        <v>0.25</v>
      </c>
      <c r="Q141" s="20">
        <f t="shared" si="47"/>
        <v>1.8571428571428572</v>
      </c>
      <c r="R141" s="21" t="s">
        <v>623</v>
      </c>
      <c r="W141" s="25" t="s">
        <v>75</v>
      </c>
    </row>
    <row r="142" spans="1:24" x14ac:dyDescent="0.25">
      <c r="B142" s="1" t="s">
        <v>624</v>
      </c>
      <c r="C142" s="1" t="s">
        <v>621</v>
      </c>
      <c r="D142" s="2">
        <v>1</v>
      </c>
      <c r="E142" s="2" t="s">
        <v>565</v>
      </c>
      <c r="F142" s="2">
        <v>4</v>
      </c>
      <c r="G142" s="2">
        <v>1</v>
      </c>
      <c r="H142" s="2">
        <v>5</v>
      </c>
      <c r="I142" s="2">
        <v>0</v>
      </c>
      <c r="J142" s="7">
        <f t="shared" si="40"/>
        <v>1.5</v>
      </c>
      <c r="K142" s="7">
        <f t="shared" si="41"/>
        <v>0.25</v>
      </c>
      <c r="L142" s="20">
        <f t="shared" si="42"/>
        <v>1.25</v>
      </c>
      <c r="M142" s="20">
        <f t="shared" si="43"/>
        <v>0</v>
      </c>
      <c r="N142" s="20">
        <f t="shared" si="44"/>
        <v>0.25</v>
      </c>
      <c r="O142" s="20">
        <f t="shared" si="45"/>
        <v>1</v>
      </c>
      <c r="P142" s="20">
        <f t="shared" si="46"/>
        <v>1</v>
      </c>
      <c r="Q142" s="20">
        <f t="shared" si="47"/>
        <v>1.5</v>
      </c>
    </row>
    <row r="143" spans="1:24" x14ac:dyDescent="0.25">
      <c r="B143" s="1" t="s">
        <v>625</v>
      </c>
      <c r="C143" s="1" t="s">
        <v>167</v>
      </c>
      <c r="D143" s="2">
        <v>1</v>
      </c>
      <c r="E143" s="2" t="s">
        <v>540</v>
      </c>
      <c r="F143" s="2">
        <v>4</v>
      </c>
      <c r="G143" s="2">
        <v>2</v>
      </c>
      <c r="H143" s="2">
        <v>7</v>
      </c>
      <c r="I143" s="2">
        <v>0</v>
      </c>
      <c r="J143" s="7">
        <f t="shared" si="40"/>
        <v>2.25</v>
      </c>
      <c r="K143" s="7">
        <f t="shared" si="41"/>
        <v>0.5</v>
      </c>
      <c r="L143" s="20">
        <f t="shared" si="42"/>
        <v>1.75</v>
      </c>
      <c r="M143" s="20">
        <f t="shared" si="43"/>
        <v>0</v>
      </c>
      <c r="N143" s="20">
        <f t="shared" si="44"/>
        <v>0.5</v>
      </c>
      <c r="O143" s="20">
        <f t="shared" si="45"/>
        <v>2</v>
      </c>
      <c r="P143" s="20">
        <f t="shared" si="46"/>
        <v>2</v>
      </c>
      <c r="Q143" s="20">
        <f t="shared" si="47"/>
        <v>2.25</v>
      </c>
    </row>
    <row r="144" spans="1:24" x14ac:dyDescent="0.25">
      <c r="B144" s="1" t="s">
        <v>626</v>
      </c>
      <c r="C144" s="1" t="s">
        <v>622</v>
      </c>
      <c r="D144" s="2">
        <v>1</v>
      </c>
      <c r="E144" s="2" t="s">
        <v>17</v>
      </c>
      <c r="F144" s="2">
        <v>9</v>
      </c>
      <c r="R144" s="21" t="s">
        <v>632</v>
      </c>
    </row>
    <row r="145" spans="1:24" x14ac:dyDescent="0.25">
      <c r="B145" s="1" t="s">
        <v>630</v>
      </c>
      <c r="C145" s="1" t="s">
        <v>167</v>
      </c>
      <c r="D145" s="2">
        <v>1</v>
      </c>
      <c r="E145" s="2" t="s">
        <v>17</v>
      </c>
      <c r="F145" s="2">
        <v>4</v>
      </c>
      <c r="R145" s="21" t="s">
        <v>631</v>
      </c>
    </row>
    <row r="146" spans="1:24" x14ac:dyDescent="0.25">
      <c r="B146" s="1" t="s">
        <v>633</v>
      </c>
      <c r="C146" s="1" t="s">
        <v>167</v>
      </c>
      <c r="D146" s="2">
        <v>1</v>
      </c>
      <c r="E146" s="2" t="s">
        <v>17</v>
      </c>
      <c r="F146" s="2">
        <v>3</v>
      </c>
      <c r="R146" s="21" t="s">
        <v>24</v>
      </c>
    </row>
    <row r="147" spans="1:24" x14ac:dyDescent="0.25">
      <c r="B147" s="1" t="s">
        <v>634</v>
      </c>
      <c r="C147" s="1" t="s">
        <v>621</v>
      </c>
      <c r="D147" s="2">
        <v>1</v>
      </c>
      <c r="E147" s="2" t="s">
        <v>17</v>
      </c>
      <c r="F147" s="2">
        <v>0</v>
      </c>
      <c r="R147" s="21" t="s">
        <v>637</v>
      </c>
    </row>
    <row r="148" spans="1:24" x14ac:dyDescent="0.25">
      <c r="B148" s="1" t="s">
        <v>635</v>
      </c>
      <c r="C148" s="1" t="s">
        <v>621</v>
      </c>
      <c r="D148" s="2">
        <v>1</v>
      </c>
      <c r="E148" s="2" t="s">
        <v>17</v>
      </c>
      <c r="F148" s="2">
        <v>2</v>
      </c>
      <c r="R148" s="21" t="s">
        <v>638</v>
      </c>
    </row>
    <row r="149" spans="1:24" x14ac:dyDescent="0.25">
      <c r="A149" s="1" t="s">
        <v>372</v>
      </c>
      <c r="B149" s="1" t="s">
        <v>636</v>
      </c>
      <c r="C149" s="1" t="s">
        <v>621</v>
      </c>
      <c r="D149" s="2">
        <v>1</v>
      </c>
      <c r="E149" s="2" t="s">
        <v>17</v>
      </c>
      <c r="F149" s="2">
        <v>2</v>
      </c>
      <c r="R149" s="21" t="s">
        <v>639</v>
      </c>
    </row>
    <row r="150" spans="1:24" x14ac:dyDescent="0.25">
      <c r="B150" s="1" t="s">
        <v>640</v>
      </c>
      <c r="C150" s="1" t="s">
        <v>622</v>
      </c>
      <c r="D150" s="2">
        <v>2</v>
      </c>
      <c r="E150" s="2" t="s">
        <v>17</v>
      </c>
      <c r="R150" s="21" t="s">
        <v>671</v>
      </c>
      <c r="T150" s="29" t="s">
        <v>41</v>
      </c>
    </row>
    <row r="151" spans="1:24" x14ac:dyDescent="0.25">
      <c r="B151" s="1" t="s">
        <v>641</v>
      </c>
      <c r="C151" s="1" t="s">
        <v>622</v>
      </c>
      <c r="D151" s="2">
        <v>3</v>
      </c>
      <c r="E151" s="2" t="s">
        <v>17</v>
      </c>
      <c r="F151" s="2">
        <v>12</v>
      </c>
      <c r="R151" s="21" t="s">
        <v>669</v>
      </c>
      <c r="T151" s="29" t="s">
        <v>670</v>
      </c>
    </row>
    <row r="152" spans="1:24" x14ac:dyDescent="0.25">
      <c r="B152" s="1" t="s">
        <v>643</v>
      </c>
      <c r="C152" s="1" t="s">
        <v>622</v>
      </c>
      <c r="D152" s="2">
        <v>4</v>
      </c>
      <c r="E152" s="2" t="s">
        <v>17</v>
      </c>
      <c r="F152" s="2">
        <v>3</v>
      </c>
      <c r="R152" s="21" t="s">
        <v>657</v>
      </c>
      <c r="T152" s="29" t="s">
        <v>668</v>
      </c>
    </row>
    <row r="153" spans="1:24" x14ac:dyDescent="0.25">
      <c r="B153" s="1" t="s">
        <v>642</v>
      </c>
      <c r="C153" s="1" t="s">
        <v>622</v>
      </c>
      <c r="D153" s="2">
        <v>4</v>
      </c>
      <c r="E153" s="2" t="s">
        <v>17</v>
      </c>
      <c r="F153" s="2">
        <v>3</v>
      </c>
      <c r="R153" s="21" t="s">
        <v>666</v>
      </c>
      <c r="T153" s="29" t="s">
        <v>667</v>
      </c>
    </row>
    <row r="154" spans="1:24" x14ac:dyDescent="0.25">
      <c r="B154" s="1" t="s">
        <v>644</v>
      </c>
      <c r="C154" s="1" t="s">
        <v>622</v>
      </c>
      <c r="D154" s="2">
        <v>5</v>
      </c>
      <c r="E154" s="2" t="s">
        <v>17</v>
      </c>
      <c r="F154" s="2">
        <v>3</v>
      </c>
      <c r="R154" s="21" t="s">
        <v>653</v>
      </c>
      <c r="T154" s="29" t="s">
        <v>522</v>
      </c>
    </row>
    <row r="155" spans="1:24" x14ac:dyDescent="0.25">
      <c r="B155" s="1" t="s">
        <v>645</v>
      </c>
      <c r="C155" s="1" t="s">
        <v>622</v>
      </c>
      <c r="D155" s="2">
        <v>5</v>
      </c>
      <c r="E155" s="2" t="s">
        <v>17</v>
      </c>
      <c r="F155" s="2">
        <v>4</v>
      </c>
      <c r="R155" s="21" t="s">
        <v>665</v>
      </c>
      <c r="T155" s="29" t="s">
        <v>97</v>
      </c>
    </row>
    <row r="156" spans="1:24" x14ac:dyDescent="0.25">
      <c r="B156" s="1" t="s">
        <v>646</v>
      </c>
      <c r="C156" s="1" t="s">
        <v>622</v>
      </c>
      <c r="D156" s="2">
        <v>6</v>
      </c>
      <c r="E156" s="2" t="s">
        <v>17</v>
      </c>
      <c r="F156" s="2">
        <v>4</v>
      </c>
      <c r="R156" s="21" t="s">
        <v>663</v>
      </c>
      <c r="T156" s="29" t="s">
        <v>664</v>
      </c>
    </row>
    <row r="157" spans="1:24" x14ac:dyDescent="0.25">
      <c r="B157" s="1" t="s">
        <v>647</v>
      </c>
      <c r="C157" s="1" t="s">
        <v>622</v>
      </c>
      <c r="D157" s="2">
        <v>6</v>
      </c>
      <c r="E157" s="2" t="s">
        <v>17</v>
      </c>
      <c r="F157" s="2">
        <v>3</v>
      </c>
      <c r="R157" s="21" t="s">
        <v>656</v>
      </c>
      <c r="T157" s="29" t="s">
        <v>102</v>
      </c>
    </row>
    <row r="158" spans="1:24" x14ac:dyDescent="0.25">
      <c r="B158" s="1" t="s">
        <v>648</v>
      </c>
      <c r="C158" s="1" t="s">
        <v>622</v>
      </c>
      <c r="D158" s="2">
        <v>7</v>
      </c>
      <c r="E158" s="2" t="s">
        <v>17</v>
      </c>
      <c r="F158" s="2">
        <v>4</v>
      </c>
      <c r="R158" s="21" t="s">
        <v>730</v>
      </c>
      <c r="V158" s="24" t="s">
        <v>661</v>
      </c>
    </row>
    <row r="159" spans="1:24" x14ac:dyDescent="0.25">
      <c r="B159" s="1" t="s">
        <v>649</v>
      </c>
      <c r="C159" s="1" t="s">
        <v>622</v>
      </c>
      <c r="D159" s="2">
        <v>7</v>
      </c>
      <c r="E159" s="2" t="s">
        <v>17</v>
      </c>
      <c r="F159" s="2">
        <v>5</v>
      </c>
      <c r="R159" s="21" t="s">
        <v>657</v>
      </c>
      <c r="W159" s="25" t="s">
        <v>658</v>
      </c>
    </row>
    <row r="160" spans="1:24" x14ac:dyDescent="0.25">
      <c r="B160" s="1" t="s">
        <v>650</v>
      </c>
      <c r="C160" s="1" t="s">
        <v>622</v>
      </c>
      <c r="D160" s="2">
        <v>7</v>
      </c>
      <c r="E160" s="2" t="s">
        <v>17</v>
      </c>
      <c r="F160" s="2">
        <v>5</v>
      </c>
      <c r="R160" s="21" t="s">
        <v>730</v>
      </c>
      <c r="X160" s="26" t="s">
        <v>662</v>
      </c>
    </row>
    <row r="161" spans="1:24" x14ac:dyDescent="0.25">
      <c r="B161" s="1" t="s">
        <v>651</v>
      </c>
      <c r="C161" s="1" t="s">
        <v>622</v>
      </c>
      <c r="D161" s="2">
        <v>8</v>
      </c>
      <c r="E161" s="2" t="s">
        <v>17</v>
      </c>
      <c r="F161" s="2">
        <v>7</v>
      </c>
      <c r="R161" s="21" t="s">
        <v>652</v>
      </c>
      <c r="T161" s="29" t="s">
        <v>252</v>
      </c>
      <c r="X161" s="26" t="s">
        <v>655</v>
      </c>
    </row>
    <row r="162" spans="1:24" x14ac:dyDescent="0.25">
      <c r="B162" s="1" t="s">
        <v>672</v>
      </c>
      <c r="C162" s="1" t="s">
        <v>621</v>
      </c>
      <c r="D162" s="2">
        <v>2</v>
      </c>
      <c r="E162" s="2" t="s">
        <v>17</v>
      </c>
      <c r="F162" s="2">
        <v>2</v>
      </c>
      <c r="R162" s="21" t="s">
        <v>684</v>
      </c>
      <c r="S162" s="29" t="s">
        <v>685</v>
      </c>
    </row>
    <row r="163" spans="1:24" x14ac:dyDescent="0.25">
      <c r="B163" s="1" t="s">
        <v>673</v>
      </c>
      <c r="C163" s="1" t="s">
        <v>621</v>
      </c>
      <c r="D163" s="2">
        <v>3</v>
      </c>
      <c r="E163" s="2" t="s">
        <v>17</v>
      </c>
      <c r="F163" s="2">
        <v>2</v>
      </c>
      <c r="R163" s="21" t="s">
        <v>522</v>
      </c>
      <c r="S163" s="22" t="s">
        <v>93</v>
      </c>
    </row>
    <row r="164" spans="1:24" x14ac:dyDescent="0.25">
      <c r="B164" s="1" t="s">
        <v>674</v>
      </c>
      <c r="C164" s="1" t="s">
        <v>621</v>
      </c>
      <c r="D164" s="2">
        <v>4</v>
      </c>
      <c r="E164" s="2" t="s">
        <v>17</v>
      </c>
      <c r="F164" s="2">
        <v>3</v>
      </c>
      <c r="R164" s="21" t="s">
        <v>686</v>
      </c>
      <c r="S164" s="22" t="s">
        <v>688</v>
      </c>
    </row>
    <row r="165" spans="1:24" x14ac:dyDescent="0.25">
      <c r="B165" s="1" t="s">
        <v>675</v>
      </c>
      <c r="C165" s="1" t="s">
        <v>621</v>
      </c>
      <c r="D165" s="2">
        <v>4</v>
      </c>
      <c r="E165" s="2" t="s">
        <v>17</v>
      </c>
      <c r="F165" s="2">
        <v>2</v>
      </c>
      <c r="R165" s="21" t="s">
        <v>686</v>
      </c>
      <c r="S165" s="22" t="s">
        <v>689</v>
      </c>
    </row>
    <row r="166" spans="1:24" x14ac:dyDescent="0.25">
      <c r="B166" s="1" t="s">
        <v>676</v>
      </c>
      <c r="C166" s="1" t="s">
        <v>621</v>
      </c>
      <c r="D166" s="2">
        <v>5</v>
      </c>
      <c r="E166" s="2" t="s">
        <v>17</v>
      </c>
      <c r="F166" s="2">
        <v>2</v>
      </c>
      <c r="R166" s="21" t="s">
        <v>690</v>
      </c>
      <c r="S166" s="22" t="s">
        <v>691</v>
      </c>
    </row>
    <row r="167" spans="1:24" x14ac:dyDescent="0.25">
      <c r="B167" s="1" t="s">
        <v>677</v>
      </c>
      <c r="C167" s="1" t="s">
        <v>621</v>
      </c>
      <c r="D167" s="2">
        <v>5</v>
      </c>
      <c r="E167" s="2" t="s">
        <v>17</v>
      </c>
      <c r="F167" s="2">
        <v>3</v>
      </c>
      <c r="R167" s="21" t="s">
        <v>692</v>
      </c>
      <c r="S167" s="22" t="s">
        <v>693</v>
      </c>
    </row>
    <row r="168" spans="1:24" x14ac:dyDescent="0.25">
      <c r="A168" s="1" t="s">
        <v>372</v>
      </c>
      <c r="B168" s="1" t="s">
        <v>678</v>
      </c>
      <c r="C168" s="1" t="s">
        <v>621</v>
      </c>
      <c r="D168" s="2">
        <v>6</v>
      </c>
      <c r="E168" s="2" t="s">
        <v>17</v>
      </c>
      <c r="F168" s="2">
        <v>6</v>
      </c>
      <c r="R168" s="21" t="s">
        <v>694</v>
      </c>
      <c r="S168" s="22" t="s">
        <v>522</v>
      </c>
    </row>
    <row r="169" spans="1:24" x14ac:dyDescent="0.25">
      <c r="B169" s="1" t="s">
        <v>679</v>
      </c>
      <c r="C169" s="1" t="s">
        <v>621</v>
      </c>
      <c r="D169" s="2">
        <v>6</v>
      </c>
      <c r="E169" s="2" t="s">
        <v>17</v>
      </c>
      <c r="F169" s="2">
        <v>4</v>
      </c>
      <c r="R169" s="21" t="s">
        <v>730</v>
      </c>
      <c r="S169" s="22" t="s">
        <v>696</v>
      </c>
    </row>
    <row r="170" spans="1:24" x14ac:dyDescent="0.25">
      <c r="A170" s="1" t="s">
        <v>372</v>
      </c>
      <c r="B170" s="1" t="s">
        <v>680</v>
      </c>
      <c r="C170" s="1" t="s">
        <v>621</v>
      </c>
      <c r="D170" s="2">
        <v>7</v>
      </c>
      <c r="E170" s="2" t="s">
        <v>17</v>
      </c>
      <c r="F170" s="2">
        <v>3</v>
      </c>
      <c r="R170" s="21" t="s">
        <v>657</v>
      </c>
      <c r="W170" s="25" t="s">
        <v>697</v>
      </c>
    </row>
    <row r="171" spans="1:24" x14ac:dyDescent="0.25">
      <c r="B171" s="1" t="s">
        <v>681</v>
      </c>
      <c r="C171" s="1" t="s">
        <v>621</v>
      </c>
      <c r="D171" s="2">
        <v>7</v>
      </c>
      <c r="E171" s="2" t="s">
        <v>17</v>
      </c>
      <c r="F171" s="2">
        <v>3</v>
      </c>
      <c r="R171" s="21" t="s">
        <v>657</v>
      </c>
      <c r="V171" s="24" t="s">
        <v>698</v>
      </c>
    </row>
    <row r="172" spans="1:24" x14ac:dyDescent="0.25">
      <c r="A172" s="1" t="s">
        <v>372</v>
      </c>
      <c r="B172" s="1" t="s">
        <v>682</v>
      </c>
      <c r="C172" s="1" t="s">
        <v>621</v>
      </c>
      <c r="D172" s="2">
        <v>7</v>
      </c>
      <c r="E172" s="2" t="s">
        <v>17</v>
      </c>
      <c r="F172" s="2">
        <v>3</v>
      </c>
      <c r="R172" s="21" t="s">
        <v>522</v>
      </c>
      <c r="X172" s="26" t="s">
        <v>700</v>
      </c>
    </row>
    <row r="173" spans="1:24" x14ac:dyDescent="0.25">
      <c r="A173" s="1" t="s">
        <v>372</v>
      </c>
      <c r="B173" s="1" t="s">
        <v>683</v>
      </c>
      <c r="C173" s="1" t="s">
        <v>621</v>
      </c>
      <c r="D173" s="2">
        <v>8</v>
      </c>
      <c r="E173" s="2" t="s">
        <v>17</v>
      </c>
      <c r="F173" s="2">
        <v>5</v>
      </c>
      <c r="R173" s="21" t="s">
        <v>667</v>
      </c>
      <c r="S173" s="22" t="s">
        <v>701</v>
      </c>
      <c r="V173" s="24" t="s">
        <v>702</v>
      </c>
    </row>
    <row r="174" spans="1:24" x14ac:dyDescent="0.25">
      <c r="A174" s="1" t="s">
        <v>735</v>
      </c>
      <c r="B174" s="1" t="s">
        <v>703</v>
      </c>
      <c r="C174" s="1" t="s">
        <v>167</v>
      </c>
      <c r="D174" s="2">
        <v>2</v>
      </c>
      <c r="E174" s="2" t="s">
        <v>17</v>
      </c>
      <c r="F174" s="2">
        <v>2</v>
      </c>
      <c r="R174" s="21" t="s">
        <v>731</v>
      </c>
      <c r="U174" s="42" t="s">
        <v>715</v>
      </c>
    </row>
    <row r="175" spans="1:24" x14ac:dyDescent="0.25">
      <c r="B175" s="1" t="s">
        <v>704</v>
      </c>
      <c r="C175" s="1" t="s">
        <v>167</v>
      </c>
      <c r="D175" s="2">
        <v>3</v>
      </c>
      <c r="E175" s="2" t="s">
        <v>17</v>
      </c>
      <c r="F175" s="2">
        <v>3</v>
      </c>
      <c r="R175" s="21" t="s">
        <v>730</v>
      </c>
      <c r="U175" s="42" t="s">
        <v>716</v>
      </c>
    </row>
    <row r="176" spans="1:24" x14ac:dyDescent="0.25">
      <c r="B176" s="1" t="s">
        <v>705</v>
      </c>
      <c r="C176" s="1" t="s">
        <v>167</v>
      </c>
      <c r="D176" s="2">
        <v>4</v>
      </c>
      <c r="E176" s="2" t="s">
        <v>17</v>
      </c>
      <c r="F176" s="2">
        <v>2</v>
      </c>
      <c r="R176" s="21" t="s">
        <v>717</v>
      </c>
      <c r="U176" s="42" t="s">
        <v>718</v>
      </c>
    </row>
    <row r="177" spans="1:24" x14ac:dyDescent="0.25">
      <c r="A177" s="1" t="s">
        <v>735</v>
      </c>
      <c r="B177" s="1" t="s">
        <v>706</v>
      </c>
      <c r="C177" s="1" t="s">
        <v>167</v>
      </c>
      <c r="D177" s="2">
        <v>4</v>
      </c>
      <c r="E177" s="2" t="s">
        <v>17</v>
      </c>
      <c r="F177" s="2">
        <v>2</v>
      </c>
      <c r="R177" s="21" t="s">
        <v>719</v>
      </c>
      <c r="U177" s="42" t="s">
        <v>719</v>
      </c>
    </row>
    <row r="178" spans="1:24" x14ac:dyDescent="0.25">
      <c r="B178" s="1" t="s">
        <v>707</v>
      </c>
      <c r="C178" s="1" t="s">
        <v>167</v>
      </c>
      <c r="D178" s="2">
        <v>5</v>
      </c>
      <c r="E178" s="2" t="s">
        <v>17</v>
      </c>
      <c r="F178" s="2">
        <v>2</v>
      </c>
      <c r="R178" s="21" t="s">
        <v>667</v>
      </c>
      <c r="U178" s="42" t="s">
        <v>522</v>
      </c>
    </row>
    <row r="179" spans="1:24" x14ac:dyDescent="0.25">
      <c r="B179" s="1" t="s">
        <v>708</v>
      </c>
      <c r="C179" s="1" t="s">
        <v>167</v>
      </c>
      <c r="D179" s="2">
        <v>5</v>
      </c>
      <c r="E179" s="2" t="s">
        <v>17</v>
      </c>
      <c r="F179" s="2">
        <v>5</v>
      </c>
      <c r="R179" s="21" t="s">
        <v>696</v>
      </c>
      <c r="U179" s="42" t="s">
        <v>720</v>
      </c>
    </row>
    <row r="180" spans="1:24" x14ac:dyDescent="0.25">
      <c r="B180" s="1" t="s">
        <v>709</v>
      </c>
      <c r="C180" s="1" t="s">
        <v>167</v>
      </c>
      <c r="D180" s="2">
        <v>6</v>
      </c>
      <c r="E180" s="2" t="s">
        <v>17</v>
      </c>
      <c r="F180" s="2">
        <v>2</v>
      </c>
      <c r="R180" s="21" t="s">
        <v>690</v>
      </c>
      <c r="U180" s="42" t="s">
        <v>721</v>
      </c>
    </row>
    <row r="181" spans="1:24" x14ac:dyDescent="0.25">
      <c r="A181" s="1" t="s">
        <v>372</v>
      </c>
      <c r="B181" s="1" t="s">
        <v>568</v>
      </c>
      <c r="C181" s="1" t="s">
        <v>621</v>
      </c>
      <c r="D181" s="2">
        <v>4</v>
      </c>
      <c r="E181" s="2" t="s">
        <v>540</v>
      </c>
      <c r="F181" s="2">
        <v>6</v>
      </c>
      <c r="G181" s="2">
        <v>2</v>
      </c>
      <c r="H181" s="2">
        <v>9</v>
      </c>
      <c r="I181" s="2">
        <v>0</v>
      </c>
      <c r="J181" s="7">
        <f>(G181+H181+I181)/F181</f>
        <v>1.8333333333333333</v>
      </c>
      <c r="K181" s="7">
        <f>G181/F181</f>
        <v>0.33333333333333331</v>
      </c>
      <c r="L181" s="20">
        <f>H181/F181</f>
        <v>1.5</v>
      </c>
      <c r="M181" s="20">
        <f>I181/F181</f>
        <v>0</v>
      </c>
      <c r="N181" s="20">
        <f>(G181+I181)/F181</f>
        <v>0.33333333333333331</v>
      </c>
      <c r="O181" s="20">
        <f>G181+I181</f>
        <v>2</v>
      </c>
      <c r="P181" s="20">
        <f>O181/D181</f>
        <v>0.5</v>
      </c>
      <c r="Q181" s="20">
        <f>K181+L181</f>
        <v>1.8333333333333333</v>
      </c>
      <c r="R181" s="21" t="s">
        <v>47</v>
      </c>
      <c r="S181" s="22" t="s">
        <v>600</v>
      </c>
    </row>
    <row r="182" spans="1:24" x14ac:dyDescent="0.25">
      <c r="B182" s="1" t="s">
        <v>711</v>
      </c>
      <c r="C182" s="1" t="s">
        <v>167</v>
      </c>
      <c r="D182" s="2">
        <v>7</v>
      </c>
      <c r="E182" s="2" t="s">
        <v>17</v>
      </c>
      <c r="F182" s="2">
        <v>3</v>
      </c>
      <c r="R182" s="21" t="s">
        <v>522</v>
      </c>
      <c r="V182" s="24" t="s">
        <v>724</v>
      </c>
    </row>
    <row r="183" spans="1:24" x14ac:dyDescent="0.25">
      <c r="B183" s="1" t="s">
        <v>712</v>
      </c>
      <c r="C183" s="1" t="s">
        <v>167</v>
      </c>
      <c r="D183" s="2">
        <v>7</v>
      </c>
      <c r="E183" s="2" t="s">
        <v>17</v>
      </c>
      <c r="F183" s="2">
        <v>2</v>
      </c>
      <c r="R183" s="21" t="s">
        <v>725</v>
      </c>
      <c r="W183" s="25" t="s">
        <v>726</v>
      </c>
    </row>
    <row r="184" spans="1:24" x14ac:dyDescent="0.25">
      <c r="B184" s="1" t="s">
        <v>713</v>
      </c>
      <c r="C184" s="1" t="s">
        <v>167</v>
      </c>
      <c r="D184" s="2">
        <v>7</v>
      </c>
      <c r="E184" s="2" t="s">
        <v>17</v>
      </c>
      <c r="F184" s="2">
        <v>3</v>
      </c>
      <c r="R184" s="21" t="s">
        <v>522</v>
      </c>
      <c r="X184" s="26" t="s">
        <v>727</v>
      </c>
    </row>
    <row r="185" spans="1:24" x14ac:dyDescent="0.25">
      <c r="B185" s="1" t="s">
        <v>714</v>
      </c>
      <c r="C185" s="1" t="s">
        <v>167</v>
      </c>
      <c r="D185" s="2">
        <v>8</v>
      </c>
      <c r="E185" s="2" t="s">
        <v>17</v>
      </c>
      <c r="F185" s="2">
        <v>2</v>
      </c>
      <c r="R185" s="21" t="s">
        <v>728</v>
      </c>
      <c r="U185" s="42" t="s">
        <v>729</v>
      </c>
      <c r="W185" s="25" t="s">
        <v>693</v>
      </c>
    </row>
  </sheetData>
  <autoFilter ref="A4:X185">
    <filterColumn colId="2">
      <filters>
        <filter val="Rus"/>
      </filters>
    </filterColumn>
    <filterColumn colId="4">
      <filters>
        <filter val="VA"/>
        <filter val="VD"/>
      </filters>
    </filterColumn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24</xdr:col>
                <xdr:colOff>304800</xdr:colOff>
                <xdr:row>0</xdr:row>
                <xdr:rowOff>0</xdr:rowOff>
              </from>
              <to>
                <xdr:col>24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24</xdr:col>
                <xdr:colOff>9525</xdr:colOff>
                <xdr:row>0</xdr:row>
                <xdr:rowOff>0</xdr:rowOff>
              </from>
              <to>
                <xdr:col>24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600075</xdr:colOff>
                <xdr:row>1</xdr:row>
                <xdr:rowOff>57150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21</xdr:col>
                <xdr:colOff>0</xdr:colOff>
                <xdr:row>0</xdr:row>
                <xdr:rowOff>0</xdr:rowOff>
              </from>
              <to>
                <xdr:col>21</xdr:col>
                <xdr:colOff>295275</xdr:colOff>
                <xdr:row>1</xdr:row>
                <xdr:rowOff>57150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21</xdr:col>
                <xdr:colOff>295275</xdr:colOff>
                <xdr:row>0</xdr:row>
                <xdr:rowOff>0</xdr:rowOff>
              </from>
              <to>
                <xdr:col>21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1030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>
      <selection activeCell="G3" sqref="G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U117"/>
  <sheetViews>
    <sheetView topLeftCell="A34" workbookViewId="0">
      <selection activeCell="A50" sqref="A50"/>
    </sheetView>
  </sheetViews>
  <sheetFormatPr defaultRowHeight="15" x14ac:dyDescent="0.25"/>
  <cols>
    <col min="12" max="24" width="9.140625" style="31"/>
    <col min="25" max="25" width="10.140625" style="31" customWidth="1"/>
    <col min="26" max="47" width="9.140625" style="31"/>
  </cols>
  <sheetData>
    <row r="2" spans="1:21" x14ac:dyDescent="0.25">
      <c r="A2" t="s">
        <v>348</v>
      </c>
    </row>
    <row r="3" spans="1:21" x14ac:dyDescent="0.25">
      <c r="A3">
        <v>16</v>
      </c>
    </row>
    <row r="4" spans="1:21" ht="18.75" x14ac:dyDescent="0.3">
      <c r="A4" s="3" t="s">
        <v>452</v>
      </c>
      <c r="U4" s="12"/>
    </row>
    <row r="5" spans="1:21" x14ac:dyDescent="0.25">
      <c r="A5">
        <v>20</v>
      </c>
    </row>
    <row r="6" spans="1:21" x14ac:dyDescent="0.25">
      <c r="A6" t="s">
        <v>349</v>
      </c>
    </row>
    <row r="7" spans="1:21" x14ac:dyDescent="0.25">
      <c r="A7" t="s">
        <v>350</v>
      </c>
    </row>
    <row r="8" spans="1:21" x14ac:dyDescent="0.25">
      <c r="A8">
        <v>23</v>
      </c>
    </row>
    <row r="9" spans="1:21" x14ac:dyDescent="0.25">
      <c r="A9" t="s">
        <v>352</v>
      </c>
    </row>
    <row r="10" spans="1:21" ht="18.75" x14ac:dyDescent="0.3">
      <c r="A10" s="3" t="s">
        <v>353</v>
      </c>
    </row>
    <row r="11" spans="1:21" x14ac:dyDescent="0.25">
      <c r="A11">
        <v>25</v>
      </c>
    </row>
    <row r="12" spans="1:21" x14ac:dyDescent="0.25">
      <c r="A12" t="s">
        <v>354</v>
      </c>
    </row>
    <row r="13" spans="1:21" ht="18.75" x14ac:dyDescent="0.3">
      <c r="A13" s="3" t="s">
        <v>355</v>
      </c>
    </row>
    <row r="14" spans="1:21" ht="18.75" x14ac:dyDescent="0.3">
      <c r="A14" s="3">
        <v>28</v>
      </c>
    </row>
    <row r="15" spans="1:21" x14ac:dyDescent="0.25">
      <c r="A15" t="s">
        <v>356</v>
      </c>
    </row>
    <row r="16" spans="1:21" ht="18.75" x14ac:dyDescent="0.3">
      <c r="A16" s="3" t="s">
        <v>358</v>
      </c>
    </row>
    <row r="17" spans="1:23" x14ac:dyDescent="0.25">
      <c r="A17" t="s">
        <v>398</v>
      </c>
      <c r="E17">
        <f>C17+D17</f>
        <v>0</v>
      </c>
    </row>
    <row r="18" spans="1:23" ht="18.75" x14ac:dyDescent="0.3">
      <c r="A18" s="3" t="s">
        <v>367</v>
      </c>
      <c r="B18">
        <v>615</v>
      </c>
      <c r="C18">
        <v>22911</v>
      </c>
      <c r="D18">
        <v>-7340</v>
      </c>
      <c r="E18">
        <f>C18+D18</f>
        <v>15571</v>
      </c>
    </row>
    <row r="19" spans="1:23" x14ac:dyDescent="0.25">
      <c r="A19">
        <v>29</v>
      </c>
    </row>
    <row r="20" spans="1:23" x14ac:dyDescent="0.25">
      <c r="A20" t="s">
        <v>361</v>
      </c>
      <c r="B20" s="4">
        <v>747</v>
      </c>
      <c r="C20" s="4">
        <v>22151</v>
      </c>
      <c r="D20" s="4">
        <v>-9500</v>
      </c>
      <c r="E20" s="4">
        <f>C20+D20</f>
        <v>12651</v>
      </c>
    </row>
    <row r="21" spans="1:23" ht="18.75" x14ac:dyDescent="0.3">
      <c r="A21" s="3" t="s">
        <v>363</v>
      </c>
      <c r="B21">
        <v>642</v>
      </c>
      <c r="C21">
        <v>23639</v>
      </c>
      <c r="D21">
        <v>-11860</v>
      </c>
      <c r="E21">
        <f>C21+D21</f>
        <v>11779</v>
      </c>
    </row>
    <row r="22" spans="1:23" x14ac:dyDescent="0.25">
      <c r="A22" t="s">
        <v>397</v>
      </c>
      <c r="B22" s="4">
        <v>624</v>
      </c>
      <c r="C22" s="4">
        <v>23057</v>
      </c>
      <c r="D22" s="4">
        <v>-9500</v>
      </c>
      <c r="E22" s="4">
        <f>C22+D22</f>
        <v>13557</v>
      </c>
    </row>
    <row r="23" spans="1:23" x14ac:dyDescent="0.25">
      <c r="A23" t="s">
        <v>415</v>
      </c>
      <c r="B23" s="6">
        <v>624</v>
      </c>
      <c r="C23" s="6">
        <v>23057</v>
      </c>
      <c r="D23" s="6">
        <v>-8383</v>
      </c>
      <c r="E23" s="6">
        <f>C23+D23</f>
        <v>14674</v>
      </c>
    </row>
    <row r="24" spans="1:23" ht="18.75" x14ac:dyDescent="0.3">
      <c r="A24" s="3" t="s">
        <v>363</v>
      </c>
      <c r="B24">
        <v>654</v>
      </c>
      <c r="C24">
        <v>23639</v>
      </c>
      <c r="D24">
        <v>-8590</v>
      </c>
      <c r="E24">
        <f>C24+D24</f>
        <v>15049</v>
      </c>
    </row>
    <row r="25" spans="1:23" x14ac:dyDescent="0.25">
      <c r="A25" t="s">
        <v>351</v>
      </c>
    </row>
    <row r="26" spans="1:23" ht="18.75" x14ac:dyDescent="0.3">
      <c r="A26" s="3" t="s">
        <v>434</v>
      </c>
    </row>
    <row r="27" spans="1:23" x14ac:dyDescent="0.25">
      <c r="A27" t="s">
        <v>395</v>
      </c>
      <c r="U27" s="31">
        <v>211215</v>
      </c>
      <c r="V27" s="31">
        <v>47350</v>
      </c>
      <c r="W27" s="31">
        <f>V27+U27</f>
        <v>258565</v>
      </c>
    </row>
    <row r="28" spans="1:23" ht="18.75" x14ac:dyDescent="0.3">
      <c r="A28" s="3" t="s">
        <v>359</v>
      </c>
      <c r="U28" s="31">
        <v>151085</v>
      </c>
      <c r="V28" s="31">
        <v>240532</v>
      </c>
      <c r="W28" s="31">
        <f>V28+U28</f>
        <v>391617</v>
      </c>
    </row>
    <row r="29" spans="1:23" ht="18.75" x14ac:dyDescent="0.3">
      <c r="A29" s="3" t="s">
        <v>396</v>
      </c>
      <c r="B29" s="4">
        <v>798</v>
      </c>
      <c r="C29" s="4">
        <v>22300</v>
      </c>
      <c r="D29" s="4">
        <v>-9500</v>
      </c>
      <c r="E29" s="4">
        <f>C29+D29</f>
        <v>12800</v>
      </c>
      <c r="U29" s="31">
        <v>99545</v>
      </c>
      <c r="V29" s="31">
        <v>407281</v>
      </c>
      <c r="W29" s="31">
        <f t="shared" ref="W29:W35" si="0">V29+U29</f>
        <v>506826</v>
      </c>
    </row>
    <row r="30" spans="1:23" x14ac:dyDescent="0.25">
      <c r="A30" t="s">
        <v>5</v>
      </c>
      <c r="U30" s="31">
        <v>73775</v>
      </c>
      <c r="V30" s="31">
        <v>508944</v>
      </c>
      <c r="W30" s="31">
        <f t="shared" si="0"/>
        <v>582719</v>
      </c>
    </row>
    <row r="31" spans="1:23" x14ac:dyDescent="0.25">
      <c r="A31" t="s">
        <v>365</v>
      </c>
      <c r="U31" s="31">
        <v>73</v>
      </c>
      <c r="V31" s="31">
        <v>536</v>
      </c>
      <c r="W31" s="31">
        <f t="shared" si="0"/>
        <v>609</v>
      </c>
    </row>
    <row r="32" spans="1:23" x14ac:dyDescent="0.25">
      <c r="A32" t="s">
        <v>366</v>
      </c>
      <c r="B32" s="4">
        <v>794</v>
      </c>
      <c r="C32" s="4">
        <v>20253</v>
      </c>
      <c r="D32" s="4">
        <v>-7000</v>
      </c>
      <c r="E32" s="4">
        <f t="shared" ref="E32:E37" si="1">C32+D32</f>
        <v>13253</v>
      </c>
      <c r="U32" s="31">
        <v>13</v>
      </c>
      <c r="V32" s="31">
        <v>702</v>
      </c>
      <c r="W32" s="31">
        <f t="shared" si="0"/>
        <v>715</v>
      </c>
    </row>
    <row r="33" spans="1:27" ht="18.75" x14ac:dyDescent="0.3">
      <c r="A33" s="3" t="s">
        <v>400</v>
      </c>
      <c r="B33">
        <v>570</v>
      </c>
      <c r="C33">
        <v>22041</v>
      </c>
      <c r="D33">
        <v>-12977</v>
      </c>
      <c r="E33">
        <f t="shared" si="1"/>
        <v>9064</v>
      </c>
      <c r="U33" s="31">
        <v>303</v>
      </c>
      <c r="V33" s="31">
        <v>356</v>
      </c>
      <c r="W33" s="31">
        <f t="shared" si="0"/>
        <v>659</v>
      </c>
    </row>
    <row r="34" spans="1:27" x14ac:dyDescent="0.25">
      <c r="A34" t="s">
        <v>368</v>
      </c>
      <c r="B34" s="4">
        <v>798</v>
      </c>
      <c r="C34" s="4">
        <v>20322</v>
      </c>
      <c r="D34" s="4">
        <v>-7113</v>
      </c>
      <c r="E34" s="4">
        <f t="shared" si="1"/>
        <v>13209</v>
      </c>
      <c r="W34" s="31">
        <f t="shared" si="0"/>
        <v>0</v>
      </c>
    </row>
    <row r="35" spans="1:27" ht="18.75" x14ac:dyDescent="0.3">
      <c r="A35" s="3" t="s">
        <v>369</v>
      </c>
      <c r="E35">
        <f t="shared" si="1"/>
        <v>0</v>
      </c>
      <c r="W35" s="31">
        <f t="shared" si="0"/>
        <v>0</v>
      </c>
    </row>
    <row r="36" spans="1:27" ht="18.75" x14ac:dyDescent="0.3">
      <c r="A36" s="3" t="s">
        <v>371</v>
      </c>
      <c r="B36" s="4">
        <v>798</v>
      </c>
      <c r="C36" s="4">
        <v>20322</v>
      </c>
      <c r="D36" s="4">
        <v>-7454</v>
      </c>
      <c r="E36" s="4">
        <f t="shared" si="1"/>
        <v>12868</v>
      </c>
    </row>
    <row r="37" spans="1:27" ht="18.75" x14ac:dyDescent="0.3">
      <c r="A37" s="3" t="s">
        <v>370</v>
      </c>
      <c r="B37" s="4">
        <v>798</v>
      </c>
      <c r="C37" s="4">
        <v>20322</v>
      </c>
      <c r="D37" s="4">
        <v>-8363</v>
      </c>
      <c r="E37" s="4">
        <f t="shared" si="1"/>
        <v>11959</v>
      </c>
      <c r="P37" s="32"/>
    </row>
    <row r="38" spans="1:27" x14ac:dyDescent="0.25">
      <c r="A38">
        <v>30</v>
      </c>
    </row>
    <row r="39" spans="1:27" ht="18.75" x14ac:dyDescent="0.3">
      <c r="A39" s="3" t="s">
        <v>439</v>
      </c>
      <c r="B39" s="4">
        <v>794</v>
      </c>
      <c r="C39" s="4">
        <v>22505</v>
      </c>
      <c r="D39" s="4">
        <v>-9613</v>
      </c>
      <c r="E39" s="4">
        <f>C39+D39</f>
        <v>12892</v>
      </c>
    </row>
    <row r="40" spans="1:27" x14ac:dyDescent="0.25">
      <c r="A40">
        <v>32</v>
      </c>
    </row>
    <row r="41" spans="1:27" x14ac:dyDescent="0.25">
      <c r="A41" t="s">
        <v>419</v>
      </c>
      <c r="B41" s="4">
        <v>738</v>
      </c>
      <c r="C41" s="4">
        <v>24531</v>
      </c>
      <c r="D41" s="4">
        <v>-11970</v>
      </c>
      <c r="E41" s="4">
        <f>C41+D41</f>
        <v>12561</v>
      </c>
    </row>
    <row r="42" spans="1:27" ht="18.75" x14ac:dyDescent="0.3">
      <c r="A42" s="3" t="s">
        <v>420</v>
      </c>
      <c r="B42">
        <v>752</v>
      </c>
      <c r="C42">
        <v>24650</v>
      </c>
      <c r="D42">
        <v>-11634</v>
      </c>
      <c r="E42">
        <f>C42+D42</f>
        <v>13016</v>
      </c>
    </row>
    <row r="43" spans="1:27" x14ac:dyDescent="0.25">
      <c r="A43">
        <v>33</v>
      </c>
      <c r="Y43" s="31" t="s">
        <v>406</v>
      </c>
      <c r="Z43" s="31">
        <v>604.5</v>
      </c>
    </row>
    <row r="44" spans="1:27" x14ac:dyDescent="0.25">
      <c r="A44" t="s">
        <v>399</v>
      </c>
      <c r="B44" s="4">
        <v>785</v>
      </c>
      <c r="C44" s="4">
        <v>24926</v>
      </c>
      <c r="D44" s="4">
        <v>-13059</v>
      </c>
      <c r="E44" s="4">
        <f>C44+D44</f>
        <v>11867</v>
      </c>
    </row>
    <row r="45" spans="1:27" ht="18.75" x14ac:dyDescent="0.3">
      <c r="A45" s="3" t="s">
        <v>364</v>
      </c>
      <c r="B45">
        <v>798</v>
      </c>
      <c r="C45">
        <v>25089</v>
      </c>
      <c r="D45">
        <v>-12753</v>
      </c>
      <c r="E45">
        <f>C45+D45</f>
        <v>12336</v>
      </c>
    </row>
    <row r="46" spans="1:27" x14ac:dyDescent="0.25">
      <c r="A46" t="s">
        <v>403</v>
      </c>
      <c r="B46" s="4">
        <v>900</v>
      </c>
      <c r="C46" s="4">
        <v>25104</v>
      </c>
      <c r="D46" s="4">
        <v>-12753</v>
      </c>
      <c r="E46" s="4">
        <f>C46+D46</f>
        <v>12351</v>
      </c>
      <c r="Y46" s="31" t="s">
        <v>407</v>
      </c>
      <c r="Z46" s="31">
        <v>1370</v>
      </c>
      <c r="AA46" s="31">
        <f>Z46-Z43</f>
        <v>765.5</v>
      </c>
    </row>
    <row r="47" spans="1:27" ht="18.75" x14ac:dyDescent="0.3">
      <c r="A47" s="3" t="s">
        <v>402</v>
      </c>
      <c r="B47">
        <v>570</v>
      </c>
      <c r="C47">
        <v>22041</v>
      </c>
      <c r="D47">
        <v>-12977</v>
      </c>
      <c r="E47">
        <f>C47+D47</f>
        <v>9064</v>
      </c>
    </row>
    <row r="48" spans="1:27" ht="18.75" x14ac:dyDescent="0.3">
      <c r="A48" s="3" t="s">
        <v>404</v>
      </c>
      <c r="B48" s="5">
        <v>900</v>
      </c>
      <c r="C48" s="5">
        <v>25104</v>
      </c>
      <c r="D48" s="5">
        <v>-12865</v>
      </c>
      <c r="E48" s="5">
        <f>C48+D48</f>
        <v>12239</v>
      </c>
      <c r="N48" s="31">
        <v>1</v>
      </c>
      <c r="O48" s="31">
        <v>884</v>
      </c>
      <c r="P48" s="31">
        <v>27213</v>
      </c>
      <c r="Q48" s="31">
        <v>0</v>
      </c>
      <c r="R48" s="31">
        <v>0</v>
      </c>
      <c r="S48" s="31">
        <v>-14850</v>
      </c>
      <c r="T48" s="33">
        <f>P48+S48+Q48+R48</f>
        <v>12363</v>
      </c>
      <c r="U48" s="31">
        <f>R48</f>
        <v>0</v>
      </c>
    </row>
    <row r="49" spans="1:31" x14ac:dyDescent="0.25">
      <c r="A49">
        <v>36</v>
      </c>
      <c r="N49" s="31">
        <v>2</v>
      </c>
      <c r="O49" s="31">
        <v>884</v>
      </c>
      <c r="P49" s="31">
        <v>27213</v>
      </c>
      <c r="Q49" s="31">
        <v>0</v>
      </c>
      <c r="R49" s="31">
        <v>605</v>
      </c>
      <c r="S49" s="31">
        <v>-14850</v>
      </c>
      <c r="T49" s="33">
        <f t="shared" ref="T49:T96" si="2">P49+S49+Q49+R49</f>
        <v>12968</v>
      </c>
      <c r="U49" s="31">
        <f t="shared" ref="U49:U55" si="3">R49</f>
        <v>605</v>
      </c>
      <c r="W49" s="31">
        <f>U49*4</f>
        <v>2420</v>
      </c>
      <c r="Y49" s="31" t="s">
        <v>408</v>
      </c>
      <c r="Z49" s="34">
        <v>956</v>
      </c>
      <c r="AA49" s="34">
        <v>36285</v>
      </c>
      <c r="AB49" s="34">
        <v>-1512</v>
      </c>
      <c r="AC49" s="34">
        <v>21699</v>
      </c>
      <c r="AD49" s="34">
        <v>-20670</v>
      </c>
      <c r="AE49" s="34">
        <f>AA49+AD49+AB49+AC49</f>
        <v>35802</v>
      </c>
    </row>
    <row r="50" spans="1:31" x14ac:dyDescent="0.25">
      <c r="A50" t="s">
        <v>416</v>
      </c>
      <c r="N50" s="31">
        <v>3</v>
      </c>
      <c r="O50" s="31">
        <v>884</v>
      </c>
      <c r="P50" s="31">
        <v>27213</v>
      </c>
      <c r="Q50" s="31">
        <v>0</v>
      </c>
      <c r="S50" s="31">
        <v>-14850</v>
      </c>
      <c r="T50" s="33">
        <f>P50+S50+Q50+R51</f>
        <v>13572</v>
      </c>
      <c r="U50" s="31">
        <f t="shared" si="3"/>
        <v>0</v>
      </c>
      <c r="Y50" s="31" t="s">
        <v>409</v>
      </c>
      <c r="Z50" s="34">
        <v>884</v>
      </c>
      <c r="AA50" s="34">
        <v>27213</v>
      </c>
      <c r="AB50" s="34">
        <v>0</v>
      </c>
      <c r="AC50" s="34">
        <v>17532</v>
      </c>
      <c r="AD50" s="34">
        <v>-14850</v>
      </c>
      <c r="AE50" s="34">
        <f>AA50+AD50+AB50+AC50</f>
        <v>29895</v>
      </c>
    </row>
    <row r="51" spans="1:31" ht="18.75" x14ac:dyDescent="0.3">
      <c r="A51" s="3" t="s">
        <v>532</v>
      </c>
      <c r="N51" s="31">
        <v>4</v>
      </c>
      <c r="O51" s="31">
        <v>884</v>
      </c>
      <c r="P51" s="31">
        <v>27213</v>
      </c>
      <c r="Q51" s="31">
        <v>0</v>
      </c>
      <c r="R51" s="31">
        <v>1209</v>
      </c>
      <c r="S51" s="31">
        <v>-14850</v>
      </c>
      <c r="T51" s="33">
        <f>P51+S51+Q51+R52</f>
        <v>12363</v>
      </c>
      <c r="U51" s="31">
        <f t="shared" si="3"/>
        <v>1209</v>
      </c>
    </row>
    <row r="52" spans="1:31" x14ac:dyDescent="0.25">
      <c r="N52" s="31">
        <v>5</v>
      </c>
      <c r="O52" s="31">
        <v>884</v>
      </c>
      <c r="P52" s="31">
        <v>27213</v>
      </c>
      <c r="Q52" s="31">
        <v>0</v>
      </c>
      <c r="S52" s="31">
        <v>-14850</v>
      </c>
      <c r="T52" s="33">
        <f t="shared" si="2"/>
        <v>12363</v>
      </c>
      <c r="U52" s="31">
        <f>R52</f>
        <v>0</v>
      </c>
    </row>
    <row r="53" spans="1:31" x14ac:dyDescent="0.25">
      <c r="N53" s="31">
        <v>6</v>
      </c>
      <c r="O53" s="31">
        <v>884</v>
      </c>
      <c r="P53" s="31">
        <v>27213</v>
      </c>
      <c r="Q53" s="31">
        <v>0</v>
      </c>
      <c r="S53" s="31">
        <v>-14850</v>
      </c>
      <c r="T53" s="33">
        <f t="shared" si="2"/>
        <v>12363</v>
      </c>
      <c r="U53" s="31">
        <f t="shared" si="3"/>
        <v>0</v>
      </c>
    </row>
    <row r="54" spans="1:31" x14ac:dyDescent="0.25">
      <c r="N54" s="31">
        <v>7</v>
      </c>
      <c r="O54" s="31">
        <v>884</v>
      </c>
      <c r="P54" s="31">
        <v>27213</v>
      </c>
      <c r="Q54" s="31">
        <v>0</v>
      </c>
      <c r="S54" s="31">
        <v>-14850</v>
      </c>
      <c r="T54" s="33">
        <f t="shared" si="2"/>
        <v>12363</v>
      </c>
      <c r="U54" s="31">
        <f t="shared" si="3"/>
        <v>0</v>
      </c>
    </row>
    <row r="55" spans="1:31" x14ac:dyDescent="0.25">
      <c r="N55" s="31">
        <v>8</v>
      </c>
      <c r="O55" s="31">
        <v>884</v>
      </c>
      <c r="P55" s="31">
        <v>27213</v>
      </c>
      <c r="Q55" s="31">
        <v>0</v>
      </c>
      <c r="R55" s="31">
        <v>2418</v>
      </c>
      <c r="S55" s="31">
        <v>-14850</v>
      </c>
      <c r="T55" s="33">
        <f t="shared" si="2"/>
        <v>14781</v>
      </c>
      <c r="U55" s="31">
        <f t="shared" si="3"/>
        <v>2418</v>
      </c>
      <c r="W55" s="31">
        <f>U55/4</f>
        <v>604.5</v>
      </c>
    </row>
    <row r="56" spans="1:31" x14ac:dyDescent="0.25">
      <c r="N56" s="31">
        <v>9</v>
      </c>
      <c r="O56" s="31">
        <v>884</v>
      </c>
      <c r="P56" s="31">
        <v>27213</v>
      </c>
      <c r="Q56" s="31">
        <v>0</v>
      </c>
      <c r="S56" s="31">
        <v>-14850</v>
      </c>
      <c r="T56" s="33">
        <f t="shared" si="2"/>
        <v>12363</v>
      </c>
      <c r="Y56" s="31" t="s">
        <v>410</v>
      </c>
      <c r="Z56" s="13">
        <v>617</v>
      </c>
      <c r="AA56" s="13">
        <v>31077</v>
      </c>
      <c r="AB56" s="13">
        <v>-2115</v>
      </c>
      <c r="AC56" s="13">
        <v>19916</v>
      </c>
      <c r="AD56" s="13">
        <v>-16804</v>
      </c>
      <c r="AE56" s="13">
        <f>AA56+AD56+AB56+AC56</f>
        <v>32074</v>
      </c>
    </row>
    <row r="57" spans="1:31" x14ac:dyDescent="0.25">
      <c r="N57" s="31">
        <v>10</v>
      </c>
      <c r="O57" s="31">
        <v>884</v>
      </c>
      <c r="P57" s="31">
        <v>27213</v>
      </c>
      <c r="Q57" s="31">
        <v>0</v>
      </c>
      <c r="S57" s="31">
        <v>-14850</v>
      </c>
      <c r="T57" s="33">
        <f t="shared" si="2"/>
        <v>12363</v>
      </c>
    </row>
    <row r="58" spans="1:31" x14ac:dyDescent="0.25">
      <c r="N58" s="31">
        <v>11</v>
      </c>
      <c r="O58" s="31">
        <v>884</v>
      </c>
      <c r="P58" s="31">
        <v>27213</v>
      </c>
      <c r="Q58" s="31">
        <v>0</v>
      </c>
      <c r="S58" s="31">
        <v>-14850</v>
      </c>
      <c r="T58" s="33">
        <f t="shared" si="2"/>
        <v>12363</v>
      </c>
    </row>
    <row r="59" spans="1:31" x14ac:dyDescent="0.25">
      <c r="N59" s="31">
        <v>12</v>
      </c>
      <c r="O59" s="31">
        <v>884</v>
      </c>
      <c r="P59" s="31">
        <v>27213</v>
      </c>
      <c r="Q59" s="31">
        <v>0</v>
      </c>
      <c r="S59" s="31">
        <v>-14850</v>
      </c>
      <c r="T59" s="33">
        <f t="shared" si="2"/>
        <v>12363</v>
      </c>
    </row>
    <row r="60" spans="1:31" x14ac:dyDescent="0.25">
      <c r="N60" s="31">
        <v>13</v>
      </c>
      <c r="O60" s="31">
        <v>884</v>
      </c>
      <c r="P60" s="31">
        <v>27213</v>
      </c>
      <c r="Q60" s="31">
        <v>0</v>
      </c>
      <c r="S60" s="31">
        <v>-14850</v>
      </c>
      <c r="T60" s="33">
        <f t="shared" si="2"/>
        <v>12363</v>
      </c>
    </row>
    <row r="61" spans="1:31" x14ac:dyDescent="0.25">
      <c r="N61" s="31">
        <v>14</v>
      </c>
      <c r="O61" s="31">
        <v>884</v>
      </c>
      <c r="P61" s="31">
        <v>27213</v>
      </c>
      <c r="Q61" s="31">
        <v>0</v>
      </c>
      <c r="S61" s="31">
        <v>-14850</v>
      </c>
      <c r="T61" s="33">
        <f t="shared" si="2"/>
        <v>12363</v>
      </c>
    </row>
    <row r="62" spans="1:31" x14ac:dyDescent="0.25">
      <c r="N62" s="31">
        <v>15</v>
      </c>
      <c r="O62" s="31">
        <v>884</v>
      </c>
      <c r="P62" s="31">
        <v>27213</v>
      </c>
      <c r="Q62" s="31">
        <v>0</v>
      </c>
      <c r="S62" s="31">
        <v>-14850</v>
      </c>
      <c r="T62" s="33">
        <f t="shared" si="2"/>
        <v>12363</v>
      </c>
    </row>
    <row r="63" spans="1:31" x14ac:dyDescent="0.25">
      <c r="N63" s="31">
        <v>16</v>
      </c>
      <c r="O63" s="31">
        <v>884</v>
      </c>
      <c r="P63" s="31">
        <v>27213</v>
      </c>
      <c r="Q63" s="31">
        <v>0</v>
      </c>
      <c r="S63" s="31">
        <v>-14850</v>
      </c>
      <c r="T63" s="33">
        <f t="shared" si="2"/>
        <v>12363</v>
      </c>
    </row>
    <row r="64" spans="1:31" x14ac:dyDescent="0.25">
      <c r="N64" s="31">
        <v>17</v>
      </c>
      <c r="O64" s="31">
        <v>884</v>
      </c>
      <c r="P64" s="31">
        <v>27213</v>
      </c>
      <c r="Q64" s="31">
        <v>0</v>
      </c>
      <c r="R64" s="31">
        <v>4836</v>
      </c>
      <c r="S64" s="31">
        <v>-14850</v>
      </c>
      <c r="T64" s="33">
        <f t="shared" si="2"/>
        <v>17199</v>
      </c>
      <c r="W64" s="31">
        <f>R64/8</f>
        <v>604.5</v>
      </c>
    </row>
    <row r="65" spans="14:20" x14ac:dyDescent="0.25">
      <c r="N65" s="31">
        <v>18</v>
      </c>
      <c r="O65" s="31">
        <v>884</v>
      </c>
      <c r="P65" s="31">
        <v>27213</v>
      </c>
      <c r="Q65" s="31">
        <v>0</v>
      </c>
      <c r="S65" s="31">
        <v>-14850</v>
      </c>
      <c r="T65" s="33">
        <f t="shared" si="2"/>
        <v>12363</v>
      </c>
    </row>
    <row r="66" spans="14:20" x14ac:dyDescent="0.25">
      <c r="N66" s="31">
        <v>19</v>
      </c>
      <c r="O66" s="31">
        <v>884</v>
      </c>
      <c r="P66" s="31">
        <v>27213</v>
      </c>
      <c r="Q66" s="31">
        <v>0</v>
      </c>
      <c r="S66" s="31">
        <v>-14850</v>
      </c>
      <c r="T66" s="33">
        <f t="shared" si="2"/>
        <v>12363</v>
      </c>
    </row>
    <row r="67" spans="14:20" x14ac:dyDescent="0.25">
      <c r="N67" s="31">
        <v>20</v>
      </c>
      <c r="O67" s="31">
        <v>884</v>
      </c>
      <c r="P67" s="31">
        <v>27213</v>
      </c>
      <c r="Q67" s="31">
        <v>0</v>
      </c>
      <c r="S67" s="31">
        <v>-14850</v>
      </c>
      <c r="T67" s="33">
        <f t="shared" si="2"/>
        <v>12363</v>
      </c>
    </row>
    <row r="68" spans="14:20" x14ac:dyDescent="0.25">
      <c r="N68" s="31">
        <v>21</v>
      </c>
      <c r="O68" s="31">
        <v>884</v>
      </c>
      <c r="P68" s="31">
        <v>27213</v>
      </c>
      <c r="Q68" s="31">
        <v>0</v>
      </c>
      <c r="S68" s="31">
        <v>-14850</v>
      </c>
      <c r="T68" s="33">
        <f t="shared" si="2"/>
        <v>12363</v>
      </c>
    </row>
    <row r="69" spans="14:20" x14ac:dyDescent="0.25">
      <c r="N69" s="31">
        <v>22</v>
      </c>
      <c r="O69" s="31">
        <v>884</v>
      </c>
      <c r="P69" s="31">
        <v>27213</v>
      </c>
      <c r="Q69" s="31">
        <v>0</v>
      </c>
      <c r="S69" s="31">
        <v>-14850</v>
      </c>
      <c r="T69" s="33">
        <f t="shared" si="2"/>
        <v>12363</v>
      </c>
    </row>
    <row r="70" spans="14:20" x14ac:dyDescent="0.25">
      <c r="N70" s="31">
        <v>23</v>
      </c>
      <c r="O70" s="31">
        <v>884</v>
      </c>
      <c r="P70" s="31">
        <v>27213</v>
      </c>
      <c r="Q70" s="31">
        <v>0</v>
      </c>
      <c r="S70" s="31">
        <v>-14850</v>
      </c>
      <c r="T70" s="33">
        <f t="shared" si="2"/>
        <v>12363</v>
      </c>
    </row>
    <row r="71" spans="14:20" x14ac:dyDescent="0.25">
      <c r="N71" s="31">
        <v>24</v>
      </c>
      <c r="O71" s="31">
        <v>884</v>
      </c>
      <c r="P71" s="31">
        <v>27213</v>
      </c>
      <c r="Q71" s="31">
        <v>0</v>
      </c>
      <c r="S71" s="31">
        <v>-14850</v>
      </c>
      <c r="T71" s="33">
        <f t="shared" si="2"/>
        <v>12363</v>
      </c>
    </row>
    <row r="72" spans="14:20" x14ac:dyDescent="0.25">
      <c r="N72" s="31">
        <v>25</v>
      </c>
      <c r="O72" s="31">
        <v>884</v>
      </c>
      <c r="P72" s="31">
        <v>27213</v>
      </c>
      <c r="Q72" s="31">
        <v>0</v>
      </c>
      <c r="S72" s="31">
        <v>-14850</v>
      </c>
      <c r="T72" s="33">
        <f t="shared" si="2"/>
        <v>12363</v>
      </c>
    </row>
    <row r="73" spans="14:20" x14ac:dyDescent="0.25">
      <c r="N73" s="31">
        <v>26</v>
      </c>
      <c r="O73" s="31">
        <v>884</v>
      </c>
      <c r="P73" s="31">
        <v>27213</v>
      </c>
      <c r="Q73" s="31">
        <v>0</v>
      </c>
      <c r="S73" s="31">
        <v>-14850</v>
      </c>
      <c r="T73" s="33">
        <f t="shared" si="2"/>
        <v>12363</v>
      </c>
    </row>
    <row r="74" spans="14:20" x14ac:dyDescent="0.25">
      <c r="N74" s="31">
        <v>27</v>
      </c>
      <c r="O74" s="31">
        <v>884</v>
      </c>
      <c r="P74" s="31">
        <v>27213</v>
      </c>
      <c r="Q74" s="31">
        <v>0</v>
      </c>
      <c r="S74" s="31">
        <v>-14850</v>
      </c>
      <c r="T74" s="33">
        <f t="shared" si="2"/>
        <v>12363</v>
      </c>
    </row>
    <row r="75" spans="14:20" x14ac:dyDescent="0.25">
      <c r="N75" s="31">
        <v>28</v>
      </c>
      <c r="O75" s="31">
        <v>884</v>
      </c>
      <c r="P75" s="31">
        <v>27213</v>
      </c>
      <c r="Q75" s="31">
        <v>0</v>
      </c>
      <c r="S75" s="31">
        <v>-14850</v>
      </c>
      <c r="T75" s="33">
        <f t="shared" si="2"/>
        <v>12363</v>
      </c>
    </row>
    <row r="76" spans="14:20" x14ac:dyDescent="0.25">
      <c r="N76" s="31">
        <v>29</v>
      </c>
      <c r="O76" s="31">
        <v>884</v>
      </c>
      <c r="P76" s="31">
        <v>27213</v>
      </c>
      <c r="Q76" s="31">
        <v>0</v>
      </c>
      <c r="S76" s="31">
        <v>-14850</v>
      </c>
      <c r="T76" s="33">
        <f t="shared" si="2"/>
        <v>12363</v>
      </c>
    </row>
    <row r="77" spans="14:20" x14ac:dyDescent="0.25">
      <c r="N77" s="31">
        <v>30</v>
      </c>
      <c r="O77" s="31">
        <v>884</v>
      </c>
      <c r="P77" s="31">
        <v>27213</v>
      </c>
      <c r="Q77" s="31">
        <v>0</v>
      </c>
      <c r="S77" s="31">
        <v>-14850</v>
      </c>
      <c r="T77" s="33">
        <f>P77+S77+Q77+R77</f>
        <v>12363</v>
      </c>
    </row>
    <row r="78" spans="14:20" x14ac:dyDescent="0.25">
      <c r="N78" s="31">
        <v>31</v>
      </c>
      <c r="O78" s="31">
        <v>884</v>
      </c>
      <c r="P78" s="31">
        <v>27213</v>
      </c>
      <c r="Q78" s="31">
        <v>0</v>
      </c>
      <c r="S78" s="31">
        <v>-14850</v>
      </c>
      <c r="T78" s="33">
        <f t="shared" si="2"/>
        <v>12363</v>
      </c>
    </row>
    <row r="79" spans="14:20" x14ac:dyDescent="0.25">
      <c r="N79" s="31">
        <v>32</v>
      </c>
      <c r="O79" s="31">
        <v>884</v>
      </c>
      <c r="P79" s="31">
        <v>27213</v>
      </c>
      <c r="Q79" s="31">
        <v>0</v>
      </c>
      <c r="S79" s="31">
        <v>-14850</v>
      </c>
      <c r="T79" s="33">
        <f t="shared" si="2"/>
        <v>12363</v>
      </c>
    </row>
    <row r="80" spans="14:20" x14ac:dyDescent="0.25">
      <c r="N80" s="31">
        <v>33</v>
      </c>
      <c r="O80" s="31">
        <v>884</v>
      </c>
      <c r="P80" s="31">
        <v>27213</v>
      </c>
      <c r="Q80" s="31">
        <v>0</v>
      </c>
      <c r="S80" s="31">
        <v>-14850</v>
      </c>
      <c r="T80" s="33">
        <f t="shared" si="2"/>
        <v>12363</v>
      </c>
    </row>
    <row r="81" spans="14:23" x14ac:dyDescent="0.25">
      <c r="N81" s="31">
        <v>34</v>
      </c>
      <c r="O81" s="31">
        <v>884</v>
      </c>
      <c r="P81" s="31">
        <v>27213</v>
      </c>
      <c r="Q81" s="31">
        <v>0</v>
      </c>
      <c r="S81" s="31">
        <v>-14850</v>
      </c>
      <c r="T81" s="33">
        <f t="shared" si="2"/>
        <v>12363</v>
      </c>
    </row>
    <row r="82" spans="14:23" x14ac:dyDescent="0.25">
      <c r="N82" s="31">
        <v>35</v>
      </c>
      <c r="O82" s="31">
        <v>884</v>
      </c>
      <c r="P82" s="31">
        <v>27213</v>
      </c>
      <c r="Q82" s="31">
        <v>0</v>
      </c>
      <c r="S82" s="31">
        <v>-14850</v>
      </c>
      <c r="T82" s="33">
        <f t="shared" si="2"/>
        <v>12363</v>
      </c>
    </row>
    <row r="83" spans="14:23" x14ac:dyDescent="0.25">
      <c r="N83" s="31">
        <v>36</v>
      </c>
      <c r="O83" s="31">
        <v>884</v>
      </c>
      <c r="P83" s="31">
        <v>27213</v>
      </c>
      <c r="Q83" s="31">
        <v>0</v>
      </c>
      <c r="R83" s="31">
        <v>10277</v>
      </c>
      <c r="S83" s="31">
        <v>-14850</v>
      </c>
      <c r="T83" s="33">
        <f t="shared" si="2"/>
        <v>22640</v>
      </c>
      <c r="W83" s="31">
        <f>R83/604.5</f>
        <v>17.000827129859388</v>
      </c>
    </row>
    <row r="84" spans="14:23" x14ac:dyDescent="0.25">
      <c r="N84" s="31">
        <v>37</v>
      </c>
      <c r="O84" s="31">
        <v>884</v>
      </c>
      <c r="P84" s="31">
        <v>27213</v>
      </c>
      <c r="Q84" s="31">
        <v>0</v>
      </c>
      <c r="S84" s="31">
        <v>-14850</v>
      </c>
      <c r="T84" s="33">
        <f t="shared" si="2"/>
        <v>12363</v>
      </c>
    </row>
    <row r="85" spans="14:23" x14ac:dyDescent="0.25">
      <c r="N85" s="31">
        <v>38</v>
      </c>
      <c r="O85" s="31">
        <v>884</v>
      </c>
      <c r="P85" s="31">
        <v>27213</v>
      </c>
      <c r="Q85" s="31">
        <v>0</v>
      </c>
      <c r="S85" s="31">
        <v>-14850</v>
      </c>
      <c r="T85" s="33">
        <f t="shared" si="2"/>
        <v>12363</v>
      </c>
    </row>
    <row r="86" spans="14:23" x14ac:dyDescent="0.25">
      <c r="N86" s="31">
        <v>39</v>
      </c>
      <c r="O86" s="31">
        <v>884</v>
      </c>
      <c r="P86" s="31">
        <v>27213</v>
      </c>
      <c r="Q86" s="31">
        <v>0</v>
      </c>
      <c r="S86" s="31">
        <v>-14850</v>
      </c>
      <c r="T86" s="33">
        <f t="shared" si="2"/>
        <v>12363</v>
      </c>
    </row>
    <row r="87" spans="14:23" x14ac:dyDescent="0.25">
      <c r="N87" s="31">
        <v>40</v>
      </c>
      <c r="O87" s="31">
        <v>884</v>
      </c>
      <c r="P87" s="31">
        <v>27213</v>
      </c>
      <c r="Q87" s="31">
        <v>0</v>
      </c>
      <c r="S87" s="31">
        <v>-14850</v>
      </c>
      <c r="T87" s="33">
        <f t="shared" si="2"/>
        <v>12363</v>
      </c>
    </row>
    <row r="88" spans="14:23" x14ac:dyDescent="0.25">
      <c r="N88" s="31">
        <v>41</v>
      </c>
      <c r="O88" s="31">
        <v>884</v>
      </c>
      <c r="P88" s="31">
        <v>27213</v>
      </c>
      <c r="Q88" s="31">
        <v>0</v>
      </c>
      <c r="S88" s="31">
        <v>-14850</v>
      </c>
      <c r="T88" s="33">
        <f t="shared" si="2"/>
        <v>12363</v>
      </c>
    </row>
    <row r="89" spans="14:23" x14ac:dyDescent="0.25">
      <c r="N89" s="31">
        <v>42</v>
      </c>
      <c r="O89" s="31">
        <v>884</v>
      </c>
      <c r="P89" s="31">
        <v>27213</v>
      </c>
      <c r="Q89" s="31">
        <v>0</v>
      </c>
      <c r="S89" s="31">
        <v>-14850</v>
      </c>
      <c r="T89" s="33">
        <f t="shared" si="2"/>
        <v>12363</v>
      </c>
    </row>
    <row r="90" spans="14:23" x14ac:dyDescent="0.25">
      <c r="N90" s="31">
        <v>43</v>
      </c>
      <c r="O90" s="31">
        <v>884</v>
      </c>
      <c r="P90" s="31">
        <v>27213</v>
      </c>
      <c r="Q90" s="31">
        <v>0</v>
      </c>
      <c r="S90" s="31">
        <v>-14850</v>
      </c>
      <c r="T90" s="33">
        <f t="shared" si="2"/>
        <v>12363</v>
      </c>
    </row>
    <row r="91" spans="14:23" x14ac:dyDescent="0.25">
      <c r="N91" s="31">
        <v>44</v>
      </c>
      <c r="O91" s="31">
        <v>884</v>
      </c>
      <c r="P91" s="31">
        <v>27213</v>
      </c>
      <c r="Q91" s="31">
        <v>0</v>
      </c>
      <c r="S91" s="31">
        <v>-14850</v>
      </c>
      <c r="T91" s="33">
        <f t="shared" si="2"/>
        <v>12363</v>
      </c>
    </row>
    <row r="92" spans="14:23" x14ac:dyDescent="0.25">
      <c r="N92" s="31">
        <v>45</v>
      </c>
      <c r="O92" s="31">
        <v>884</v>
      </c>
      <c r="P92" s="31">
        <v>27213</v>
      </c>
      <c r="Q92" s="31">
        <v>0</v>
      </c>
      <c r="S92" s="31">
        <v>-14850</v>
      </c>
      <c r="T92" s="33">
        <f t="shared" si="2"/>
        <v>12363</v>
      </c>
    </row>
    <row r="93" spans="14:23" x14ac:dyDescent="0.25">
      <c r="N93" s="31">
        <v>46</v>
      </c>
      <c r="O93" s="31">
        <v>884</v>
      </c>
      <c r="P93" s="31">
        <v>27213</v>
      </c>
      <c r="Q93" s="31">
        <v>0</v>
      </c>
      <c r="S93" s="31">
        <v>-14850</v>
      </c>
      <c r="T93" s="33">
        <f>P93+S93+Q93+R93</f>
        <v>12363</v>
      </c>
    </row>
    <row r="94" spans="14:23" x14ac:dyDescent="0.25">
      <c r="N94" s="31">
        <v>47</v>
      </c>
      <c r="O94" s="31">
        <v>884</v>
      </c>
      <c r="P94" s="31">
        <v>27213</v>
      </c>
      <c r="Q94" s="31">
        <v>0</v>
      </c>
      <c r="S94" s="31">
        <v>-14850</v>
      </c>
      <c r="T94" s="33">
        <f t="shared" si="2"/>
        <v>12363</v>
      </c>
    </row>
    <row r="95" spans="14:23" x14ac:dyDescent="0.25">
      <c r="N95" s="31">
        <v>48</v>
      </c>
      <c r="O95" s="31">
        <v>884</v>
      </c>
      <c r="P95" s="31">
        <v>27213</v>
      </c>
      <c r="Q95" s="31">
        <v>0</v>
      </c>
      <c r="S95" s="31">
        <v>-14850</v>
      </c>
      <c r="T95" s="33">
        <f t="shared" si="2"/>
        <v>12363</v>
      </c>
    </row>
    <row r="96" spans="14:23" x14ac:dyDescent="0.25">
      <c r="N96" s="31">
        <v>49</v>
      </c>
      <c r="O96" s="31">
        <v>884</v>
      </c>
      <c r="P96" s="31">
        <v>27213</v>
      </c>
      <c r="Q96" s="31">
        <v>0</v>
      </c>
      <c r="S96" s="31">
        <v>-14850</v>
      </c>
      <c r="T96" s="33">
        <f t="shared" si="2"/>
        <v>12363</v>
      </c>
    </row>
    <row r="97" spans="14:20" x14ac:dyDescent="0.25">
      <c r="N97" s="31">
        <v>50</v>
      </c>
      <c r="O97" s="31">
        <v>884</v>
      </c>
      <c r="P97" s="31">
        <v>27213</v>
      </c>
      <c r="Q97" s="31">
        <v>0</v>
      </c>
      <c r="S97" s="31">
        <v>-14850</v>
      </c>
      <c r="T97" s="33">
        <f t="shared" ref="T97:T117" si="4">P97+S97+Q97+R97</f>
        <v>12363</v>
      </c>
    </row>
    <row r="98" spans="14:20" x14ac:dyDescent="0.25">
      <c r="N98" s="31">
        <v>51</v>
      </c>
      <c r="O98" s="31">
        <v>884</v>
      </c>
      <c r="P98" s="31">
        <v>27213</v>
      </c>
      <c r="Q98" s="31">
        <v>0</v>
      </c>
      <c r="S98" s="31">
        <v>-14850</v>
      </c>
      <c r="T98" s="33">
        <f t="shared" si="4"/>
        <v>12363</v>
      </c>
    </row>
    <row r="99" spans="14:20" x14ac:dyDescent="0.25">
      <c r="N99" s="31">
        <v>52</v>
      </c>
      <c r="O99" s="31">
        <v>884</v>
      </c>
      <c r="P99" s="31">
        <v>27213</v>
      </c>
      <c r="Q99" s="31">
        <v>0</v>
      </c>
      <c r="S99" s="31">
        <v>-14850</v>
      </c>
      <c r="T99" s="33">
        <f t="shared" si="4"/>
        <v>12363</v>
      </c>
    </row>
    <row r="100" spans="14:20" x14ac:dyDescent="0.25">
      <c r="N100" s="31">
        <v>53</v>
      </c>
      <c r="O100" s="31">
        <v>884</v>
      </c>
      <c r="P100" s="31">
        <v>27213</v>
      </c>
      <c r="Q100" s="31">
        <v>0</v>
      </c>
      <c r="S100" s="31">
        <v>-14850</v>
      </c>
      <c r="T100" s="33">
        <f t="shared" si="4"/>
        <v>12363</v>
      </c>
    </row>
    <row r="101" spans="14:20" x14ac:dyDescent="0.25">
      <c r="N101" s="31">
        <v>54</v>
      </c>
      <c r="O101" s="31">
        <v>884</v>
      </c>
      <c r="P101" s="31">
        <v>27213</v>
      </c>
      <c r="Q101" s="31">
        <v>0</v>
      </c>
      <c r="S101" s="31">
        <v>-14850</v>
      </c>
      <c r="T101" s="33">
        <f t="shared" si="4"/>
        <v>12363</v>
      </c>
    </row>
    <row r="102" spans="14:20" x14ac:dyDescent="0.25">
      <c r="N102" s="31">
        <v>55</v>
      </c>
      <c r="O102" s="31">
        <v>884</v>
      </c>
      <c r="P102" s="31">
        <v>27213</v>
      </c>
      <c r="Q102" s="31">
        <v>0</v>
      </c>
      <c r="S102" s="31">
        <v>-14850</v>
      </c>
      <c r="T102" s="33">
        <f t="shared" si="4"/>
        <v>12363</v>
      </c>
    </row>
    <row r="103" spans="14:20" x14ac:dyDescent="0.25">
      <c r="N103" s="31">
        <v>56</v>
      </c>
      <c r="O103" s="31">
        <v>884</v>
      </c>
      <c r="P103" s="31">
        <v>27213</v>
      </c>
      <c r="Q103" s="31">
        <v>0</v>
      </c>
      <c r="S103" s="31">
        <v>-14850</v>
      </c>
      <c r="T103" s="33">
        <f t="shared" si="4"/>
        <v>12363</v>
      </c>
    </row>
    <row r="104" spans="14:20" x14ac:dyDescent="0.25">
      <c r="N104" s="31">
        <v>57</v>
      </c>
      <c r="O104" s="31">
        <v>884</v>
      </c>
      <c r="P104" s="31">
        <v>27213</v>
      </c>
      <c r="Q104" s="31">
        <v>0</v>
      </c>
      <c r="S104" s="31">
        <v>-14850</v>
      </c>
      <c r="T104" s="33">
        <f t="shared" si="4"/>
        <v>12363</v>
      </c>
    </row>
    <row r="105" spans="14:20" x14ac:dyDescent="0.25">
      <c r="N105" s="31">
        <v>58</v>
      </c>
      <c r="O105" s="31">
        <v>884</v>
      </c>
      <c r="P105" s="31">
        <v>27213</v>
      </c>
      <c r="Q105" s="31">
        <v>0</v>
      </c>
      <c r="S105" s="31">
        <v>-14850</v>
      </c>
      <c r="T105" s="33">
        <f t="shared" si="4"/>
        <v>12363</v>
      </c>
    </row>
    <row r="106" spans="14:20" x14ac:dyDescent="0.25">
      <c r="N106" s="31">
        <v>59</v>
      </c>
      <c r="O106" s="31">
        <v>884</v>
      </c>
      <c r="P106" s="31">
        <v>27213</v>
      </c>
      <c r="Q106" s="31">
        <v>0</v>
      </c>
      <c r="S106" s="31">
        <v>-14850</v>
      </c>
      <c r="T106" s="33">
        <f t="shared" si="4"/>
        <v>12363</v>
      </c>
    </row>
    <row r="107" spans="14:20" x14ac:dyDescent="0.25">
      <c r="N107" s="31">
        <v>60</v>
      </c>
      <c r="O107" s="31">
        <v>884</v>
      </c>
      <c r="P107" s="31">
        <v>27213</v>
      </c>
      <c r="Q107" s="31">
        <v>0</v>
      </c>
      <c r="S107" s="31">
        <v>-14850</v>
      </c>
      <c r="T107" s="33">
        <f t="shared" si="4"/>
        <v>12363</v>
      </c>
    </row>
    <row r="108" spans="14:20" x14ac:dyDescent="0.25">
      <c r="N108" s="31">
        <v>61</v>
      </c>
      <c r="O108" s="31">
        <v>884</v>
      </c>
      <c r="P108" s="31">
        <v>27213</v>
      </c>
      <c r="Q108" s="31">
        <v>0</v>
      </c>
      <c r="S108" s="31">
        <v>-14850</v>
      </c>
      <c r="T108" s="33">
        <f t="shared" si="4"/>
        <v>12363</v>
      </c>
    </row>
    <row r="109" spans="14:20" x14ac:dyDescent="0.25">
      <c r="N109" s="31">
        <v>62</v>
      </c>
      <c r="O109" s="31">
        <v>884</v>
      </c>
      <c r="P109" s="31">
        <v>27213</v>
      </c>
      <c r="Q109" s="31">
        <v>0</v>
      </c>
      <c r="S109" s="31">
        <v>-14850</v>
      </c>
      <c r="T109" s="33">
        <f t="shared" si="4"/>
        <v>12363</v>
      </c>
    </row>
    <row r="110" spans="14:20" x14ac:dyDescent="0.25">
      <c r="N110" s="31">
        <v>63</v>
      </c>
      <c r="O110" s="31">
        <v>884</v>
      </c>
      <c r="P110" s="31">
        <v>27213</v>
      </c>
      <c r="Q110" s="31">
        <v>0</v>
      </c>
      <c r="S110" s="31">
        <v>-14850</v>
      </c>
      <c r="T110" s="33">
        <f t="shared" si="4"/>
        <v>12363</v>
      </c>
    </row>
    <row r="111" spans="14:20" x14ac:dyDescent="0.25">
      <c r="N111" s="31">
        <v>64</v>
      </c>
      <c r="O111" s="31">
        <v>884</v>
      </c>
      <c r="P111" s="31">
        <v>27213</v>
      </c>
      <c r="Q111" s="31">
        <v>0</v>
      </c>
      <c r="S111" s="31">
        <v>-14850</v>
      </c>
      <c r="T111" s="33">
        <f t="shared" si="4"/>
        <v>12363</v>
      </c>
    </row>
    <row r="112" spans="14:20" x14ac:dyDescent="0.25">
      <c r="N112" s="31">
        <v>65</v>
      </c>
      <c r="O112" s="31">
        <v>884</v>
      </c>
      <c r="P112" s="31">
        <v>27213</v>
      </c>
      <c r="Q112" s="31">
        <v>0</v>
      </c>
      <c r="S112" s="31">
        <v>-14850</v>
      </c>
      <c r="T112" s="33">
        <f t="shared" si="4"/>
        <v>12363</v>
      </c>
    </row>
    <row r="113" spans="14:23" x14ac:dyDescent="0.25">
      <c r="N113" s="31">
        <v>66</v>
      </c>
      <c r="O113" s="31">
        <v>884</v>
      </c>
      <c r="P113" s="31">
        <v>27213</v>
      </c>
      <c r="Q113" s="31">
        <v>0</v>
      </c>
      <c r="S113" s="31">
        <v>-14850</v>
      </c>
      <c r="T113" s="33">
        <f t="shared" si="4"/>
        <v>12363</v>
      </c>
    </row>
    <row r="114" spans="14:23" x14ac:dyDescent="0.25">
      <c r="N114" s="31">
        <v>67</v>
      </c>
      <c r="O114" s="31">
        <v>884</v>
      </c>
      <c r="P114" s="31">
        <v>27213</v>
      </c>
      <c r="Q114" s="31">
        <v>0</v>
      </c>
      <c r="S114" s="31">
        <v>-14850</v>
      </c>
      <c r="T114" s="33">
        <f t="shared" si="4"/>
        <v>12363</v>
      </c>
    </row>
    <row r="115" spans="14:23" x14ac:dyDescent="0.25">
      <c r="N115" s="31">
        <v>68</v>
      </c>
      <c r="O115" s="31">
        <v>884</v>
      </c>
      <c r="P115" s="31">
        <v>27213</v>
      </c>
      <c r="Q115" s="31">
        <v>0</v>
      </c>
      <c r="S115" s="31">
        <v>-14850</v>
      </c>
      <c r="T115" s="33">
        <f t="shared" si="4"/>
        <v>12363</v>
      </c>
    </row>
    <row r="116" spans="14:23" x14ac:dyDescent="0.25">
      <c r="N116" s="31">
        <v>69</v>
      </c>
      <c r="O116" s="31">
        <v>884</v>
      </c>
      <c r="P116" s="31">
        <v>27213</v>
      </c>
      <c r="Q116" s="31">
        <v>0</v>
      </c>
      <c r="S116" s="31">
        <v>-14850</v>
      </c>
      <c r="T116" s="33">
        <f t="shared" si="4"/>
        <v>12363</v>
      </c>
    </row>
    <row r="117" spans="14:23" x14ac:dyDescent="0.25">
      <c r="N117" s="31">
        <v>70</v>
      </c>
      <c r="O117" s="31">
        <v>884</v>
      </c>
      <c r="P117" s="31">
        <v>27213</v>
      </c>
      <c r="Q117" s="31">
        <v>0</v>
      </c>
      <c r="R117" s="31">
        <v>20555</v>
      </c>
      <c r="S117" s="31">
        <v>-14850</v>
      </c>
      <c r="T117" s="33">
        <f t="shared" si="4"/>
        <v>32918</v>
      </c>
      <c r="W117" s="31">
        <f>R117/604.5</f>
        <v>34.003308519437553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X37"/>
  <sheetViews>
    <sheetView zoomScale="85" zoomScaleNormal="85" workbookViewId="0">
      <pane ySplit="1" topLeftCell="A2" activePane="bottomLeft" state="frozen"/>
      <selection activeCell="I49" sqref="I49"/>
      <selection pane="bottomLeft"/>
    </sheetView>
  </sheetViews>
  <sheetFormatPr defaultRowHeight="18.75" customHeight="1" x14ac:dyDescent="0.25"/>
  <cols>
    <col min="1" max="1" width="15.5703125" style="46" customWidth="1"/>
    <col min="2" max="10" width="4.140625" style="46" customWidth="1"/>
    <col min="11" max="11" width="4.140625" style="47" customWidth="1"/>
    <col min="12" max="17" width="5.7109375" style="48" customWidth="1"/>
    <col min="18" max="23" width="5.7109375" style="46" customWidth="1"/>
    <col min="24" max="29" width="5.7109375" style="48" customWidth="1"/>
    <col min="30" max="35" width="5.7109375" style="46" customWidth="1"/>
    <col min="36" max="41" width="5.7109375" style="48" customWidth="1"/>
    <col min="42" max="47" width="5.7109375" style="46" customWidth="1"/>
    <col min="48" max="50" width="3.7109375" style="46" customWidth="1"/>
    <col min="51" max="16384" width="9.140625" style="46"/>
  </cols>
  <sheetData>
    <row r="1" spans="1:50" s="51" customFormat="1" ht="18.75" customHeight="1" x14ac:dyDescent="0.25">
      <c r="K1" s="52"/>
      <c r="L1" s="53">
        <v>1</v>
      </c>
      <c r="M1" s="53">
        <v>2</v>
      </c>
      <c r="N1" s="53">
        <v>3</v>
      </c>
      <c r="O1" s="53">
        <v>4</v>
      </c>
      <c r="P1" s="53">
        <v>5</v>
      </c>
      <c r="Q1" s="53">
        <v>6</v>
      </c>
      <c r="R1" s="51">
        <v>7</v>
      </c>
      <c r="S1" s="51">
        <v>8</v>
      </c>
      <c r="T1" s="51">
        <v>9</v>
      </c>
      <c r="U1" s="51">
        <v>10</v>
      </c>
      <c r="V1" s="51">
        <v>11</v>
      </c>
      <c r="W1" s="51">
        <v>12</v>
      </c>
      <c r="X1" s="53">
        <v>13</v>
      </c>
      <c r="Y1" s="53">
        <v>14</v>
      </c>
      <c r="Z1" s="53">
        <v>15</v>
      </c>
      <c r="AA1" s="53">
        <v>16</v>
      </c>
      <c r="AB1" s="53">
        <v>17</v>
      </c>
      <c r="AC1" s="53">
        <v>18</v>
      </c>
      <c r="AD1" s="51">
        <v>19</v>
      </c>
      <c r="AE1" s="51">
        <v>20</v>
      </c>
      <c r="AF1" s="51">
        <v>21</v>
      </c>
      <c r="AG1" s="51">
        <v>22</v>
      </c>
      <c r="AH1" s="51">
        <v>23</v>
      </c>
      <c r="AI1" s="51">
        <v>24</v>
      </c>
      <c r="AJ1" s="53">
        <v>25</v>
      </c>
      <c r="AK1" s="53">
        <v>26</v>
      </c>
      <c r="AL1" s="53">
        <v>27</v>
      </c>
      <c r="AM1" s="53">
        <v>28</v>
      </c>
      <c r="AN1" s="53">
        <v>29</v>
      </c>
      <c r="AO1" s="53">
        <v>30</v>
      </c>
      <c r="AP1" s="51">
        <v>31</v>
      </c>
      <c r="AQ1" s="51">
        <v>32</v>
      </c>
      <c r="AR1" s="51">
        <v>33</v>
      </c>
      <c r="AS1" s="51">
        <v>34</v>
      </c>
      <c r="AT1" s="51">
        <v>35</v>
      </c>
      <c r="AU1" s="51">
        <v>36</v>
      </c>
    </row>
    <row r="2" spans="1:50" ht="18.75" customHeight="1" x14ac:dyDescent="0.25">
      <c r="A2" s="13" t="s">
        <v>175</v>
      </c>
      <c r="B2" s="13" t="s">
        <v>327</v>
      </c>
      <c r="C2" s="13" t="s">
        <v>177</v>
      </c>
      <c r="D2" s="13" t="s">
        <v>174</v>
      </c>
      <c r="E2" s="36" t="s">
        <v>10</v>
      </c>
      <c r="F2" s="36" t="s">
        <v>11</v>
      </c>
      <c r="G2" s="36" t="s">
        <v>12</v>
      </c>
      <c r="H2" s="13" t="s">
        <v>165</v>
      </c>
      <c r="I2" s="13" t="s">
        <v>529</v>
      </c>
      <c r="J2" s="13" t="s">
        <v>530</v>
      </c>
      <c r="K2" s="35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6"/>
      <c r="Y2" s="16"/>
      <c r="Z2" s="16"/>
      <c r="AA2" s="16"/>
      <c r="AB2" s="16"/>
      <c r="AC2" s="16"/>
      <c r="AD2" s="13"/>
      <c r="AE2" s="13"/>
      <c r="AF2" s="13"/>
      <c r="AG2" s="13"/>
      <c r="AH2" s="13"/>
      <c r="AI2" s="13"/>
      <c r="AJ2" s="16"/>
      <c r="AK2" s="16"/>
      <c r="AL2" s="16"/>
      <c r="AM2" s="16"/>
      <c r="AN2" s="16"/>
      <c r="AO2" s="16"/>
      <c r="AP2" s="13"/>
      <c r="AQ2" s="13"/>
      <c r="AR2" s="13"/>
      <c r="AS2" s="13"/>
      <c r="AT2" s="13"/>
      <c r="AU2" s="13"/>
      <c r="AV2" s="13"/>
      <c r="AW2" s="13"/>
      <c r="AX2" s="13"/>
    </row>
    <row r="3" spans="1:50" s="15" customFormat="1" ht="18.75" customHeight="1" x14ac:dyDescent="0.25">
      <c r="A3" s="15" t="s">
        <v>162</v>
      </c>
      <c r="B3" s="15">
        <v>8</v>
      </c>
      <c r="C3" s="15" t="s">
        <v>23</v>
      </c>
      <c r="D3" s="15" t="s">
        <v>6</v>
      </c>
      <c r="E3" s="15">
        <v>1</v>
      </c>
      <c r="F3" s="15">
        <v>25</v>
      </c>
      <c r="G3" s="15">
        <v>9</v>
      </c>
      <c r="H3" s="15">
        <f t="shared" ref="H3:H34" si="0">E3+F3+G3</f>
        <v>35</v>
      </c>
      <c r="I3" s="15">
        <f t="shared" ref="I3:I34" si="1">G3+F3</f>
        <v>34</v>
      </c>
      <c r="J3" s="15">
        <f t="shared" ref="J3:J34" si="2">E3+G3</f>
        <v>10</v>
      </c>
      <c r="K3" s="37" t="s">
        <v>163</v>
      </c>
      <c r="L3" s="17" t="s">
        <v>326</v>
      </c>
      <c r="M3" s="17" t="s">
        <v>326</v>
      </c>
      <c r="N3" s="17" t="s">
        <v>326</v>
      </c>
      <c r="O3" s="17" t="s">
        <v>326</v>
      </c>
      <c r="P3" s="17" t="s">
        <v>326</v>
      </c>
      <c r="Q3" s="17" t="s">
        <v>326</v>
      </c>
      <c r="R3" s="15" t="s">
        <v>326</v>
      </c>
      <c r="S3" s="15" t="s">
        <v>326</v>
      </c>
      <c r="T3" s="15" t="s">
        <v>326</v>
      </c>
      <c r="U3" s="15" t="s">
        <v>326</v>
      </c>
      <c r="V3" s="15" t="s">
        <v>326</v>
      </c>
      <c r="W3" s="15" t="s">
        <v>326</v>
      </c>
      <c r="X3" s="17" t="s">
        <v>326</v>
      </c>
      <c r="Y3" s="17" t="s">
        <v>326</v>
      </c>
      <c r="Z3" s="17" t="s">
        <v>326</v>
      </c>
      <c r="AA3" s="17" t="s">
        <v>326</v>
      </c>
      <c r="AB3" s="17" t="s">
        <v>326</v>
      </c>
      <c r="AC3" s="17" t="s">
        <v>326</v>
      </c>
      <c r="AD3" s="15" t="s">
        <v>326</v>
      </c>
      <c r="AE3" s="15" t="s">
        <v>326</v>
      </c>
      <c r="AF3" s="15" t="s">
        <v>326</v>
      </c>
      <c r="AG3" s="15" t="s">
        <v>340</v>
      </c>
      <c r="AH3" s="15" t="s">
        <v>326</v>
      </c>
      <c r="AI3" s="15" t="s">
        <v>357</v>
      </c>
      <c r="AJ3" s="17" t="s">
        <v>326</v>
      </c>
      <c r="AK3" s="17" t="s">
        <v>326</v>
      </c>
      <c r="AL3" s="17" t="s">
        <v>341</v>
      </c>
      <c r="AM3" s="17" t="s">
        <v>357</v>
      </c>
      <c r="AN3" s="17" t="s">
        <v>342</v>
      </c>
      <c r="AO3" s="17" t="s">
        <v>326</v>
      </c>
      <c r="AQ3" s="1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tr">
        <f t="shared" ref="AV3:AV11" si="3">A3</f>
        <v>10th Mountain</v>
      </c>
    </row>
    <row r="4" spans="1:50" s="15" customFormat="1" ht="18.75" customHeight="1" x14ac:dyDescent="0.25">
      <c r="A4" s="15" t="s">
        <v>159</v>
      </c>
      <c r="B4" s="15">
        <v>8</v>
      </c>
      <c r="C4" s="15" t="s">
        <v>21</v>
      </c>
      <c r="D4" s="15" t="s">
        <v>6</v>
      </c>
      <c r="E4" s="15">
        <v>2</v>
      </c>
      <c r="F4" s="15">
        <v>30</v>
      </c>
      <c r="G4" s="15">
        <v>8</v>
      </c>
      <c r="H4" s="15">
        <f t="shared" si="0"/>
        <v>40</v>
      </c>
      <c r="I4" s="15">
        <f t="shared" si="1"/>
        <v>38</v>
      </c>
      <c r="J4" s="15">
        <f t="shared" si="2"/>
        <v>10</v>
      </c>
      <c r="K4" s="37" t="s">
        <v>160</v>
      </c>
      <c r="L4" s="17" t="s">
        <v>326</v>
      </c>
      <c r="M4" s="17" t="s">
        <v>326</v>
      </c>
      <c r="N4" s="17" t="s">
        <v>326</v>
      </c>
      <c r="O4" s="17" t="s">
        <v>326</v>
      </c>
      <c r="P4" s="17" t="s">
        <v>326</v>
      </c>
      <c r="Q4" s="17" t="s">
        <v>326</v>
      </c>
      <c r="R4" s="15" t="s">
        <v>326</v>
      </c>
      <c r="S4" s="15" t="s">
        <v>326</v>
      </c>
      <c r="T4" s="15" t="s">
        <v>326</v>
      </c>
      <c r="U4" s="15" t="s">
        <v>326</v>
      </c>
      <c r="V4" s="15" t="s">
        <v>326</v>
      </c>
      <c r="W4" s="15" t="s">
        <v>326</v>
      </c>
      <c r="X4" s="17" t="s">
        <v>326</v>
      </c>
      <c r="Y4" s="17" t="s">
        <v>326</v>
      </c>
      <c r="Z4" s="17" t="s">
        <v>326</v>
      </c>
      <c r="AA4" s="17" t="s">
        <v>326</v>
      </c>
      <c r="AB4" s="17" t="s">
        <v>326</v>
      </c>
      <c r="AC4" s="17" t="s">
        <v>326</v>
      </c>
      <c r="AD4" s="15" t="s">
        <v>326</v>
      </c>
      <c r="AE4" s="15" t="s">
        <v>326</v>
      </c>
      <c r="AF4" s="15" t="s">
        <v>326</v>
      </c>
      <c r="AG4" s="15" t="s">
        <v>326</v>
      </c>
      <c r="AH4" s="15" t="s">
        <v>326</v>
      </c>
      <c r="AI4" s="15" t="s">
        <v>326</v>
      </c>
      <c r="AJ4" s="17" t="s">
        <v>326</v>
      </c>
      <c r="AK4" s="17" t="s">
        <v>326</v>
      </c>
      <c r="AL4" s="17" t="s">
        <v>371</v>
      </c>
      <c r="AM4" s="17" t="s">
        <v>454</v>
      </c>
      <c r="AN4" s="17" t="s">
        <v>326</v>
      </c>
      <c r="AO4" s="17" t="s">
        <v>326</v>
      </c>
      <c r="AP4" s="15" t="s">
        <v>326</v>
      </c>
      <c r="AQ4" s="15" t="s">
        <v>326</v>
      </c>
      <c r="AR4" s="15" t="s">
        <v>364</v>
      </c>
      <c r="AS4" s="15" t="s">
        <v>326</v>
      </c>
      <c r="AT4" s="15" t="s">
        <v>326</v>
      </c>
      <c r="AU4" s="15" t="s">
        <v>455</v>
      </c>
      <c r="AV4" s="15" t="str">
        <f t="shared" si="3"/>
        <v>11th Airborne</v>
      </c>
    </row>
    <row r="5" spans="1:50" s="11" customFormat="1" ht="18.75" customHeight="1" x14ac:dyDescent="0.25">
      <c r="A5" s="11" t="s">
        <v>155</v>
      </c>
      <c r="B5" s="11">
        <v>8</v>
      </c>
      <c r="C5" s="11" t="s">
        <v>23</v>
      </c>
      <c r="D5" s="11" t="s">
        <v>166</v>
      </c>
      <c r="E5" s="11">
        <v>1</v>
      </c>
      <c r="F5" s="11">
        <v>27</v>
      </c>
      <c r="G5" s="11">
        <v>9</v>
      </c>
      <c r="H5" s="11">
        <f t="shared" si="0"/>
        <v>37</v>
      </c>
      <c r="I5" s="11">
        <f t="shared" si="1"/>
        <v>36</v>
      </c>
      <c r="J5" s="11">
        <f t="shared" si="2"/>
        <v>10</v>
      </c>
      <c r="K5" s="38" t="s">
        <v>156</v>
      </c>
      <c r="L5" s="18" t="s">
        <v>326</v>
      </c>
      <c r="M5" s="18" t="s">
        <v>326</v>
      </c>
      <c r="N5" s="18" t="s">
        <v>326</v>
      </c>
      <c r="O5" s="18" t="s">
        <v>326</v>
      </c>
      <c r="P5" s="18" t="s">
        <v>326</v>
      </c>
      <c r="Q5" s="18" t="s">
        <v>326</v>
      </c>
      <c r="R5" s="11" t="s">
        <v>326</v>
      </c>
      <c r="S5" s="11" t="s">
        <v>326</v>
      </c>
      <c r="T5" s="11" t="s">
        <v>326</v>
      </c>
      <c r="U5" s="11" t="s">
        <v>326</v>
      </c>
      <c r="V5" s="11" t="s">
        <v>326</v>
      </c>
      <c r="W5" s="11" t="s">
        <v>326</v>
      </c>
      <c r="X5" s="18" t="s">
        <v>326</v>
      </c>
      <c r="Y5" s="18" t="s">
        <v>326</v>
      </c>
      <c r="Z5" s="18" t="s">
        <v>326</v>
      </c>
      <c r="AA5" s="18" t="s">
        <v>326</v>
      </c>
      <c r="AB5" s="18" t="s">
        <v>326</v>
      </c>
      <c r="AC5" s="18" t="s">
        <v>326</v>
      </c>
      <c r="AD5" s="11" t="s">
        <v>326</v>
      </c>
      <c r="AE5" s="11" t="s">
        <v>431</v>
      </c>
      <c r="AF5" s="11" t="s">
        <v>326</v>
      </c>
      <c r="AG5" s="11" t="s">
        <v>326</v>
      </c>
      <c r="AH5" s="11" t="s">
        <v>405</v>
      </c>
      <c r="AI5" s="11" t="s">
        <v>326</v>
      </c>
      <c r="AJ5" s="18" t="s">
        <v>326</v>
      </c>
      <c r="AK5" s="18" t="s">
        <v>347</v>
      </c>
      <c r="AL5" s="18" t="s">
        <v>346</v>
      </c>
      <c r="AM5" s="18" t="s">
        <v>326</v>
      </c>
      <c r="AN5" s="18" t="s">
        <v>326</v>
      </c>
      <c r="AO5" s="18"/>
      <c r="AP5" s="11" t="s">
        <v>326</v>
      </c>
      <c r="AQ5" s="11" t="s">
        <v>326</v>
      </c>
      <c r="AR5" s="11" t="s">
        <v>326</v>
      </c>
      <c r="AS5" s="11" t="s">
        <v>326</v>
      </c>
      <c r="AT5" s="11" t="s">
        <v>326</v>
      </c>
      <c r="AU5" s="11" t="s">
        <v>326</v>
      </c>
      <c r="AV5" s="11" t="str">
        <f t="shared" si="3"/>
        <v>4-я дивизия</v>
      </c>
    </row>
    <row r="6" spans="1:50" s="14" customFormat="1" ht="18.75" customHeight="1" x14ac:dyDescent="0.25">
      <c r="A6" s="14" t="s">
        <v>170</v>
      </c>
      <c r="B6" s="14">
        <v>8</v>
      </c>
      <c r="C6" s="14" t="s">
        <v>21</v>
      </c>
      <c r="D6" s="14" t="s">
        <v>167</v>
      </c>
      <c r="E6" s="14">
        <v>3</v>
      </c>
      <c r="F6" s="14">
        <v>31</v>
      </c>
      <c r="G6" s="14">
        <v>7</v>
      </c>
      <c r="H6" s="14">
        <f t="shared" si="0"/>
        <v>41</v>
      </c>
      <c r="I6" s="14">
        <f t="shared" si="1"/>
        <v>38</v>
      </c>
      <c r="J6" s="14">
        <f t="shared" si="2"/>
        <v>10</v>
      </c>
      <c r="K6" s="39" t="s">
        <v>157</v>
      </c>
      <c r="L6" s="19" t="s">
        <v>326</v>
      </c>
      <c r="M6" s="19" t="s">
        <v>326</v>
      </c>
      <c r="N6" s="19" t="s">
        <v>326</v>
      </c>
      <c r="O6" s="19" t="s">
        <v>326</v>
      </c>
      <c r="P6" s="19" t="s">
        <v>326</v>
      </c>
      <c r="Q6" s="19" t="s">
        <v>326</v>
      </c>
      <c r="R6" s="14" t="s">
        <v>326</v>
      </c>
      <c r="S6" s="14" t="s">
        <v>326</v>
      </c>
      <c r="T6" s="14" t="s">
        <v>326</v>
      </c>
      <c r="U6" s="14" t="s">
        <v>326</v>
      </c>
      <c r="V6" s="14" t="s">
        <v>326</v>
      </c>
      <c r="W6" s="14" t="s">
        <v>326</v>
      </c>
      <c r="X6" s="19" t="s">
        <v>326</v>
      </c>
      <c r="Y6" s="19" t="s">
        <v>326</v>
      </c>
      <c r="Z6" s="19" t="s">
        <v>326</v>
      </c>
      <c r="AA6" s="19" t="s">
        <v>326</v>
      </c>
      <c r="AB6" s="19" t="s">
        <v>326</v>
      </c>
      <c r="AC6" s="19" t="s">
        <v>326</v>
      </c>
      <c r="AD6" s="14" t="s">
        <v>536</v>
      </c>
      <c r="AE6" s="14" t="s">
        <v>326</v>
      </c>
      <c r="AF6" s="14" t="s">
        <v>326</v>
      </c>
      <c r="AG6" s="14" t="s">
        <v>326</v>
      </c>
      <c r="AH6" s="14" t="s">
        <v>428</v>
      </c>
      <c r="AI6" s="14" t="s">
        <v>326</v>
      </c>
      <c r="AJ6" s="19" t="s">
        <v>326</v>
      </c>
      <c r="AK6" s="19" t="s">
        <v>535</v>
      </c>
      <c r="AL6" s="19" t="s">
        <v>326</v>
      </c>
      <c r="AM6" s="19" t="s">
        <v>326</v>
      </c>
      <c r="AN6" s="19" t="s">
        <v>326</v>
      </c>
      <c r="AO6" s="19" t="s">
        <v>326</v>
      </c>
      <c r="AP6" s="14" t="s">
        <v>326</v>
      </c>
      <c r="AQ6" s="14" t="s">
        <v>418</v>
      </c>
      <c r="AR6" s="14" t="s">
        <v>326</v>
      </c>
      <c r="AS6" s="14" t="s">
        <v>326</v>
      </c>
      <c r="AT6" s="14" t="s">
        <v>326</v>
      </c>
      <c r="AU6" s="14" t="s">
        <v>465</v>
      </c>
      <c r="AV6" s="14" t="str">
        <f t="shared" si="3"/>
        <v>PzD Holstein</v>
      </c>
    </row>
    <row r="7" spans="1:50" s="14" customFormat="1" ht="18.75" customHeight="1" x14ac:dyDescent="0.25">
      <c r="A7" s="14" t="s">
        <v>170</v>
      </c>
      <c r="B7" s="14">
        <v>8</v>
      </c>
      <c r="C7" s="14" t="s">
        <v>21</v>
      </c>
      <c r="D7" s="14" t="s">
        <v>167</v>
      </c>
      <c r="E7" s="14">
        <v>3</v>
      </c>
      <c r="F7" s="14">
        <v>31</v>
      </c>
      <c r="G7" s="14">
        <v>7</v>
      </c>
      <c r="H7" s="14">
        <f t="shared" si="0"/>
        <v>41</v>
      </c>
      <c r="I7" s="14">
        <f t="shared" si="1"/>
        <v>38</v>
      </c>
      <c r="J7" s="14">
        <f t="shared" si="2"/>
        <v>10</v>
      </c>
      <c r="K7" s="39" t="s">
        <v>157</v>
      </c>
      <c r="L7" s="19" t="s">
        <v>326</v>
      </c>
      <c r="M7" s="19" t="s">
        <v>326</v>
      </c>
      <c r="N7" s="19" t="s">
        <v>326</v>
      </c>
      <c r="O7" s="19" t="s">
        <v>326</v>
      </c>
      <c r="P7" s="19" t="s">
        <v>326</v>
      </c>
      <c r="Q7" s="19" t="s">
        <v>326</v>
      </c>
      <c r="R7" s="14" t="s">
        <v>326</v>
      </c>
      <c r="S7" s="14" t="s">
        <v>326</v>
      </c>
      <c r="T7" s="14" t="s">
        <v>326</v>
      </c>
      <c r="U7" s="14" t="s">
        <v>326</v>
      </c>
      <c r="V7" s="14" t="s">
        <v>326</v>
      </c>
      <c r="W7" s="14" t="s">
        <v>326</v>
      </c>
      <c r="X7" s="19" t="s">
        <v>326</v>
      </c>
      <c r="Y7" s="19" t="s">
        <v>326</v>
      </c>
      <c r="Z7" s="19" t="s">
        <v>326</v>
      </c>
      <c r="AA7" s="19" t="s">
        <v>326</v>
      </c>
      <c r="AB7" s="19" t="s">
        <v>326</v>
      </c>
      <c r="AC7" s="19" t="s">
        <v>326</v>
      </c>
      <c r="AD7" s="14" t="s">
        <v>326</v>
      </c>
      <c r="AE7" s="14" t="s">
        <v>326</v>
      </c>
      <c r="AF7" s="14" t="s">
        <v>326</v>
      </c>
      <c r="AG7" s="14" t="s">
        <v>326</v>
      </c>
      <c r="AH7" s="14" t="s">
        <v>326</v>
      </c>
      <c r="AI7" s="14" t="s">
        <v>326</v>
      </c>
      <c r="AJ7" s="19" t="s">
        <v>326</v>
      </c>
      <c r="AK7" s="19" t="s">
        <v>326</v>
      </c>
      <c r="AL7" s="19" t="s">
        <v>326</v>
      </c>
      <c r="AM7" s="19" t="s">
        <v>326</v>
      </c>
      <c r="AN7" s="19" t="s">
        <v>326</v>
      </c>
      <c r="AO7" s="19" t="s">
        <v>326</v>
      </c>
      <c r="AP7" s="14" t="s">
        <v>326</v>
      </c>
      <c r="AQ7" s="14" t="s">
        <v>424</v>
      </c>
      <c r="AR7" s="14" t="s">
        <v>326</v>
      </c>
      <c r="AS7" s="14" t="s">
        <v>326</v>
      </c>
      <c r="AT7" s="14" t="s">
        <v>326</v>
      </c>
      <c r="AV7" s="14" t="str">
        <f t="shared" si="3"/>
        <v>PzD Holstein</v>
      </c>
    </row>
    <row r="8" spans="1:50" s="15" customFormat="1" ht="18.75" customHeight="1" x14ac:dyDescent="0.25">
      <c r="A8" s="15" t="s">
        <v>161</v>
      </c>
      <c r="B8" s="15">
        <v>8</v>
      </c>
      <c r="C8" s="15" t="s">
        <v>22</v>
      </c>
      <c r="D8" s="15" t="s">
        <v>6</v>
      </c>
      <c r="E8" s="15">
        <v>2</v>
      </c>
      <c r="F8" s="15">
        <v>27</v>
      </c>
      <c r="G8" s="15">
        <v>7</v>
      </c>
      <c r="H8" s="15">
        <f t="shared" si="0"/>
        <v>36</v>
      </c>
      <c r="I8" s="15">
        <f t="shared" si="1"/>
        <v>34</v>
      </c>
      <c r="J8" s="15">
        <f t="shared" si="2"/>
        <v>9</v>
      </c>
      <c r="K8" s="37" t="s">
        <v>164</v>
      </c>
      <c r="L8" s="17" t="s">
        <v>326</v>
      </c>
      <c r="M8" s="17" t="s">
        <v>326</v>
      </c>
      <c r="N8" s="17" t="s">
        <v>326</v>
      </c>
      <c r="O8" s="17" t="s">
        <v>326</v>
      </c>
      <c r="P8" s="17" t="s">
        <v>326</v>
      </c>
      <c r="Q8" s="17" t="s">
        <v>326</v>
      </c>
      <c r="R8" s="15" t="s">
        <v>326</v>
      </c>
      <c r="S8" s="15" t="s">
        <v>326</v>
      </c>
      <c r="T8" s="15" t="s">
        <v>326</v>
      </c>
      <c r="U8" s="15" t="s">
        <v>326</v>
      </c>
      <c r="V8" s="15" t="s">
        <v>326</v>
      </c>
      <c r="W8" s="15" t="s">
        <v>326</v>
      </c>
      <c r="X8" s="17" t="s">
        <v>326</v>
      </c>
      <c r="Y8" s="17" t="s">
        <v>326</v>
      </c>
      <c r="Z8" s="17" t="s">
        <v>326</v>
      </c>
      <c r="AA8" s="17" t="s">
        <v>326</v>
      </c>
      <c r="AB8" s="17" t="s">
        <v>326</v>
      </c>
      <c r="AC8" s="17" t="s">
        <v>326</v>
      </c>
      <c r="AD8" s="15" t="s">
        <v>326</v>
      </c>
      <c r="AE8" s="15" t="s">
        <v>326</v>
      </c>
      <c r="AF8" s="15" t="s">
        <v>326</v>
      </c>
      <c r="AG8" s="15" t="s">
        <v>326</v>
      </c>
      <c r="AH8" s="15" t="s">
        <v>326</v>
      </c>
      <c r="AI8" s="15" t="s">
        <v>326</v>
      </c>
      <c r="AJ8" s="17" t="s">
        <v>326</v>
      </c>
      <c r="AK8" s="17" t="s">
        <v>326</v>
      </c>
      <c r="AL8" s="17" t="s">
        <v>326</v>
      </c>
      <c r="AM8" s="17" t="s">
        <v>326</v>
      </c>
      <c r="AN8" s="17"/>
      <c r="AO8" s="17" t="s">
        <v>326</v>
      </c>
      <c r="AP8" s="15" t="s">
        <v>326</v>
      </c>
      <c r="AQ8" s="15" t="s">
        <v>326</v>
      </c>
      <c r="AR8" s="15" t="s">
        <v>326</v>
      </c>
      <c r="AS8" s="15" t="s">
        <v>326</v>
      </c>
      <c r="AT8" s="15" t="s">
        <v>326</v>
      </c>
      <c r="AU8" s="15" t="s">
        <v>326</v>
      </c>
      <c r="AV8" s="15" t="str">
        <f t="shared" si="3"/>
        <v>7th Armored</v>
      </c>
    </row>
    <row r="9" spans="1:50" s="11" customFormat="1" ht="18.75" customHeight="1" x14ac:dyDescent="0.25">
      <c r="A9" s="11" t="s">
        <v>142</v>
      </c>
      <c r="B9" s="11">
        <v>8</v>
      </c>
      <c r="C9" s="11" t="s">
        <v>21</v>
      </c>
      <c r="D9" s="11" t="s">
        <v>166</v>
      </c>
      <c r="E9" s="11">
        <v>2</v>
      </c>
      <c r="F9" s="11">
        <v>35</v>
      </c>
      <c r="G9" s="11">
        <v>7</v>
      </c>
      <c r="H9" s="11">
        <f t="shared" si="0"/>
        <v>44</v>
      </c>
      <c r="I9" s="11">
        <f t="shared" si="1"/>
        <v>42</v>
      </c>
      <c r="J9" s="11">
        <f t="shared" si="2"/>
        <v>9</v>
      </c>
      <c r="K9" s="38" t="s">
        <v>144</v>
      </c>
      <c r="L9" s="18" t="s">
        <v>326</v>
      </c>
      <c r="M9" s="18" t="s">
        <v>326</v>
      </c>
      <c r="N9" s="18" t="s">
        <v>326</v>
      </c>
      <c r="O9" s="18" t="s">
        <v>326</v>
      </c>
      <c r="P9" s="18" t="s">
        <v>326</v>
      </c>
      <c r="Q9" s="18" t="s">
        <v>326</v>
      </c>
      <c r="R9" s="11" t="s">
        <v>326</v>
      </c>
      <c r="S9" s="11" t="s">
        <v>326</v>
      </c>
      <c r="T9" s="11" t="s">
        <v>326</v>
      </c>
      <c r="U9" s="11" t="s">
        <v>326</v>
      </c>
      <c r="V9" s="11" t="s">
        <v>326</v>
      </c>
      <c r="W9" s="11" t="s">
        <v>326</v>
      </c>
      <c r="X9" s="18" t="s">
        <v>326</v>
      </c>
      <c r="Y9" s="18" t="s">
        <v>326</v>
      </c>
      <c r="Z9" s="18" t="s">
        <v>326</v>
      </c>
      <c r="AA9" s="18" t="s">
        <v>326</v>
      </c>
      <c r="AB9" s="18" t="s">
        <v>326</v>
      </c>
      <c r="AC9" s="18" t="s">
        <v>456</v>
      </c>
      <c r="AD9" s="11" t="s">
        <v>326</v>
      </c>
      <c r="AE9" s="11" t="s">
        <v>326</v>
      </c>
      <c r="AF9" s="11" t="s">
        <v>326</v>
      </c>
      <c r="AG9" s="11" t="s">
        <v>326</v>
      </c>
      <c r="AH9" s="11" t="s">
        <v>326</v>
      </c>
      <c r="AI9" s="11" t="s">
        <v>326</v>
      </c>
      <c r="AJ9" s="18" t="s">
        <v>326</v>
      </c>
      <c r="AK9" s="18" t="s">
        <v>326</v>
      </c>
      <c r="AL9" s="18" t="s">
        <v>326</v>
      </c>
      <c r="AM9" s="18" t="s">
        <v>326</v>
      </c>
      <c r="AN9" s="18" t="s">
        <v>326</v>
      </c>
      <c r="AO9" s="18" t="s">
        <v>326</v>
      </c>
      <c r="AP9" s="11" t="s">
        <v>326</v>
      </c>
      <c r="AQ9" s="11" t="s">
        <v>417</v>
      </c>
      <c r="AR9" s="11" t="s">
        <v>326</v>
      </c>
      <c r="AS9" s="11" t="s">
        <v>326</v>
      </c>
      <c r="AT9" s="11" t="s">
        <v>326</v>
      </c>
      <c r="AV9" s="11" t="str">
        <f t="shared" si="3"/>
        <v>60-я танковая</v>
      </c>
    </row>
    <row r="10" spans="1:50" s="14" customFormat="1" ht="18.75" customHeight="1" x14ac:dyDescent="0.25">
      <c r="A10" s="14" t="s">
        <v>168</v>
      </c>
      <c r="B10" s="14">
        <v>8</v>
      </c>
      <c r="C10" s="14" t="s">
        <v>23</v>
      </c>
      <c r="D10" s="14" t="s">
        <v>167</v>
      </c>
      <c r="E10" s="14">
        <v>2</v>
      </c>
      <c r="F10" s="14">
        <v>27</v>
      </c>
      <c r="G10" s="14">
        <v>7</v>
      </c>
      <c r="H10" s="14">
        <f t="shared" si="0"/>
        <v>36</v>
      </c>
      <c r="I10" s="14">
        <f t="shared" si="1"/>
        <v>34</v>
      </c>
      <c r="J10" s="14">
        <f t="shared" si="2"/>
        <v>9</v>
      </c>
      <c r="K10" s="39" t="s">
        <v>128</v>
      </c>
      <c r="L10" s="19" t="s">
        <v>326</v>
      </c>
      <c r="M10" s="19" t="s">
        <v>326</v>
      </c>
      <c r="N10" s="19" t="s">
        <v>326</v>
      </c>
      <c r="O10" s="19" t="s">
        <v>326</v>
      </c>
      <c r="P10" s="19" t="s">
        <v>326</v>
      </c>
      <c r="Q10" s="19" t="s">
        <v>326</v>
      </c>
      <c r="R10" s="14" t="s">
        <v>326</v>
      </c>
      <c r="S10" s="14" t="s">
        <v>326</v>
      </c>
      <c r="T10" s="14" t="s">
        <v>326</v>
      </c>
      <c r="U10" s="14" t="s">
        <v>326</v>
      </c>
      <c r="V10" s="14" t="s">
        <v>326</v>
      </c>
      <c r="W10" s="14" t="s">
        <v>326</v>
      </c>
      <c r="X10" s="19" t="s">
        <v>326</v>
      </c>
      <c r="Y10" s="19" t="s">
        <v>326</v>
      </c>
      <c r="Z10" s="19" t="s">
        <v>326</v>
      </c>
      <c r="AA10" s="19" t="s">
        <v>326</v>
      </c>
      <c r="AB10" s="19" t="s">
        <v>326</v>
      </c>
      <c r="AC10" s="19" t="s">
        <v>326</v>
      </c>
      <c r="AD10" s="14" t="s">
        <v>326</v>
      </c>
      <c r="AE10" s="14" t="s">
        <v>326</v>
      </c>
      <c r="AF10" s="14" t="s">
        <v>326</v>
      </c>
      <c r="AG10" s="14" t="s">
        <v>326</v>
      </c>
      <c r="AH10" s="14" t="s">
        <v>533</v>
      </c>
      <c r="AI10" s="14" t="s">
        <v>326</v>
      </c>
      <c r="AJ10" s="19" t="s">
        <v>534</v>
      </c>
      <c r="AK10" s="19" t="s">
        <v>326</v>
      </c>
      <c r="AL10" s="19" t="s">
        <v>401</v>
      </c>
      <c r="AM10" s="19" t="s">
        <v>451</v>
      </c>
      <c r="AN10" s="19" t="s">
        <v>326</v>
      </c>
      <c r="AO10" s="19" t="s">
        <v>450</v>
      </c>
      <c r="AP10" s="14" t="s">
        <v>326</v>
      </c>
      <c r="AQ10" s="14" t="s">
        <v>326</v>
      </c>
      <c r="AR10" s="14" t="s">
        <v>412</v>
      </c>
      <c r="AS10" s="14" t="s">
        <v>326</v>
      </c>
      <c r="AT10" s="14" t="s">
        <v>326</v>
      </c>
      <c r="AU10" s="14" t="s">
        <v>505</v>
      </c>
      <c r="AV10" s="14" t="str">
        <f t="shared" si="3"/>
        <v>PzD Clausewitz</v>
      </c>
    </row>
    <row r="11" spans="1:50" s="11" customFormat="1" ht="18.75" customHeight="1" x14ac:dyDescent="0.25">
      <c r="A11" s="11" t="s">
        <v>143</v>
      </c>
      <c r="B11" s="11">
        <v>8</v>
      </c>
      <c r="C11" s="11" t="s">
        <v>22</v>
      </c>
      <c r="D11" s="11" t="s">
        <v>166</v>
      </c>
      <c r="E11" s="11">
        <v>3</v>
      </c>
      <c r="F11" s="11">
        <v>32</v>
      </c>
      <c r="G11" s="11">
        <v>6</v>
      </c>
      <c r="H11" s="11">
        <f t="shared" si="0"/>
        <v>41</v>
      </c>
      <c r="I11" s="11">
        <f t="shared" si="1"/>
        <v>38</v>
      </c>
      <c r="J11" s="11">
        <f t="shared" si="2"/>
        <v>9</v>
      </c>
      <c r="K11" s="38" t="s">
        <v>145</v>
      </c>
      <c r="L11" s="18" t="s">
        <v>326</v>
      </c>
      <c r="M11" s="18" t="s">
        <v>326</v>
      </c>
      <c r="N11" s="18" t="s">
        <v>326</v>
      </c>
      <c r="O11" s="18" t="s">
        <v>326</v>
      </c>
      <c r="P11" s="18" t="s">
        <v>326</v>
      </c>
      <c r="Q11" s="18" t="s">
        <v>326</v>
      </c>
      <c r="R11" s="11" t="s">
        <v>326</v>
      </c>
      <c r="S11" s="11" t="s">
        <v>326</v>
      </c>
      <c r="T11" s="11" t="s">
        <v>326</v>
      </c>
      <c r="U11" s="11" t="s">
        <v>326</v>
      </c>
      <c r="V11" s="11" t="s">
        <v>515</v>
      </c>
      <c r="W11" s="11" t="s">
        <v>326</v>
      </c>
      <c r="X11" s="18" t="s">
        <v>326</v>
      </c>
      <c r="Y11" s="18" t="s">
        <v>326</v>
      </c>
      <c r="Z11" s="18" t="s">
        <v>732</v>
      </c>
      <c r="AA11" s="18" t="s">
        <v>326</v>
      </c>
      <c r="AB11" s="18" t="s">
        <v>326</v>
      </c>
      <c r="AC11" s="18" t="s">
        <v>326</v>
      </c>
      <c r="AD11" s="11" t="s">
        <v>326</v>
      </c>
      <c r="AE11" s="11" t="s">
        <v>514</v>
      </c>
      <c r="AF11" s="11" t="s">
        <v>326</v>
      </c>
      <c r="AG11" s="11" t="s">
        <v>326</v>
      </c>
      <c r="AH11" s="11" t="s">
        <v>513</v>
      </c>
      <c r="AI11" s="11" t="s">
        <v>343</v>
      </c>
      <c r="AJ11" s="18" t="s">
        <v>345</v>
      </c>
      <c r="AK11" s="18" t="s">
        <v>344</v>
      </c>
      <c r="AL11" s="18" t="s">
        <v>326</v>
      </c>
      <c r="AM11" s="18" t="s">
        <v>438</v>
      </c>
      <c r="AN11" s="18" t="s">
        <v>435</v>
      </c>
      <c r="AO11" s="18" t="s">
        <v>512</v>
      </c>
      <c r="AP11" s="11" t="s">
        <v>326</v>
      </c>
      <c r="AQ11" s="11" t="s">
        <v>326</v>
      </c>
      <c r="AR11" s="11" t="s">
        <v>413</v>
      </c>
      <c r="AS11" s="11" t="s">
        <v>326</v>
      </c>
      <c r="AT11" s="11" t="s">
        <v>326</v>
      </c>
      <c r="AU11" s="11" t="s">
        <v>326</v>
      </c>
      <c r="AV11" s="11" t="str">
        <f t="shared" si="3"/>
        <v>41-я танковая</v>
      </c>
    </row>
    <row r="12" spans="1:50" s="14" customFormat="1" ht="18.75" customHeight="1" x14ac:dyDescent="0.25">
      <c r="A12" s="14" t="s">
        <v>169</v>
      </c>
      <c r="B12" s="14">
        <v>8</v>
      </c>
      <c r="C12" s="14" t="s">
        <v>22</v>
      </c>
      <c r="D12" s="14" t="s">
        <v>167</v>
      </c>
      <c r="E12" s="14">
        <v>3</v>
      </c>
      <c r="F12" s="14">
        <v>30</v>
      </c>
      <c r="G12" s="14">
        <v>5</v>
      </c>
      <c r="H12" s="14">
        <f t="shared" si="0"/>
        <v>38</v>
      </c>
      <c r="I12" s="14">
        <f t="shared" si="1"/>
        <v>35</v>
      </c>
      <c r="J12" s="14">
        <f t="shared" si="2"/>
        <v>8</v>
      </c>
      <c r="K12" s="39" t="s">
        <v>158</v>
      </c>
      <c r="L12" s="19" t="s">
        <v>326</v>
      </c>
      <c r="M12" s="19" t="s">
        <v>326</v>
      </c>
      <c r="N12" s="19" t="s">
        <v>326</v>
      </c>
      <c r="O12" s="19" t="s">
        <v>326</v>
      </c>
      <c r="P12" s="19" t="s">
        <v>326</v>
      </c>
      <c r="Q12" s="19" t="s">
        <v>326</v>
      </c>
      <c r="R12" s="14" t="s">
        <v>326</v>
      </c>
      <c r="S12" s="14" t="s">
        <v>326</v>
      </c>
      <c r="T12" s="14" t="s">
        <v>326</v>
      </c>
      <c r="U12" s="14" t="s">
        <v>326</v>
      </c>
      <c r="V12" s="14" t="s">
        <v>326</v>
      </c>
      <c r="W12" s="14" t="s">
        <v>326</v>
      </c>
      <c r="X12" s="19" t="s">
        <v>326</v>
      </c>
      <c r="Y12" s="19" t="s">
        <v>326</v>
      </c>
      <c r="Z12" s="19" t="s">
        <v>326</v>
      </c>
      <c r="AA12" s="19" t="s">
        <v>326</v>
      </c>
      <c r="AB12" s="19" t="s">
        <v>326</v>
      </c>
      <c r="AC12" s="19" t="s">
        <v>326</v>
      </c>
      <c r="AD12" s="14" t="s">
        <v>326</v>
      </c>
      <c r="AE12" s="14" t="s">
        <v>326</v>
      </c>
      <c r="AF12" s="14" t="s">
        <v>326</v>
      </c>
      <c r="AG12" s="14" t="s">
        <v>326</v>
      </c>
      <c r="AH12" s="14" t="s">
        <v>326</v>
      </c>
      <c r="AI12" s="14" t="s">
        <v>326</v>
      </c>
      <c r="AJ12" s="19" t="s">
        <v>326</v>
      </c>
      <c r="AK12" s="19" t="s">
        <v>326</v>
      </c>
      <c r="AL12" s="19" t="s">
        <v>422</v>
      </c>
      <c r="AM12" s="19" t="s">
        <v>360</v>
      </c>
      <c r="AN12" s="19" t="s">
        <v>359</v>
      </c>
      <c r="AO12" s="19" t="s">
        <v>433</v>
      </c>
      <c r="AP12" s="14" t="s">
        <v>326</v>
      </c>
      <c r="AQ12" s="14" t="s">
        <v>326</v>
      </c>
      <c r="AR12" s="14" t="s">
        <v>326</v>
      </c>
      <c r="AS12" s="14" t="s">
        <v>326</v>
      </c>
      <c r="AT12" s="14" t="s">
        <v>326</v>
      </c>
      <c r="AU12" s="14" t="s">
        <v>326</v>
      </c>
      <c r="AV12" s="14" t="str">
        <f t="shared" ref="AV12:AV21" si="4">A12</f>
        <v>PzD Muncheberg</v>
      </c>
    </row>
    <row r="13" spans="1:50" s="14" customFormat="1" ht="18.75" customHeight="1" x14ac:dyDescent="0.25">
      <c r="A13" s="14" t="s">
        <v>169</v>
      </c>
      <c r="B13" s="14">
        <v>8</v>
      </c>
      <c r="C13" s="14" t="s">
        <v>22</v>
      </c>
      <c r="D13" s="14" t="s">
        <v>167</v>
      </c>
      <c r="E13" s="14">
        <v>3</v>
      </c>
      <c r="F13" s="14">
        <v>30</v>
      </c>
      <c r="G13" s="14">
        <v>5</v>
      </c>
      <c r="H13" s="14">
        <f t="shared" si="0"/>
        <v>38</v>
      </c>
      <c r="I13" s="14">
        <f t="shared" si="1"/>
        <v>35</v>
      </c>
      <c r="J13" s="14">
        <f t="shared" si="2"/>
        <v>8</v>
      </c>
      <c r="K13" s="39" t="s">
        <v>158</v>
      </c>
      <c r="L13" s="19" t="s">
        <v>326</v>
      </c>
      <c r="M13" s="19" t="s">
        <v>326</v>
      </c>
      <c r="N13" s="19" t="s">
        <v>326</v>
      </c>
      <c r="O13" s="19" t="s">
        <v>326</v>
      </c>
      <c r="P13" s="19" t="s">
        <v>326</v>
      </c>
      <c r="Q13" s="19" t="s">
        <v>326</v>
      </c>
      <c r="R13" s="14" t="s">
        <v>326</v>
      </c>
      <c r="S13" s="14" t="s">
        <v>326</v>
      </c>
      <c r="T13" s="14" t="s">
        <v>326</v>
      </c>
      <c r="U13" s="14" t="s">
        <v>326</v>
      </c>
      <c r="V13" s="14" t="s">
        <v>326</v>
      </c>
      <c r="W13" s="14" t="s">
        <v>326</v>
      </c>
      <c r="X13" s="19" t="s">
        <v>326</v>
      </c>
      <c r="Y13" s="19" t="s">
        <v>326</v>
      </c>
      <c r="Z13" s="19" t="s">
        <v>326</v>
      </c>
      <c r="AA13" s="19" t="s">
        <v>326</v>
      </c>
      <c r="AB13" s="19" t="s">
        <v>326</v>
      </c>
      <c r="AC13" s="19" t="s">
        <v>326</v>
      </c>
      <c r="AD13" s="14" t="s">
        <v>326</v>
      </c>
      <c r="AE13" s="14" t="s">
        <v>326</v>
      </c>
      <c r="AF13" s="14" t="s">
        <v>326</v>
      </c>
      <c r="AG13" s="14" t="s">
        <v>326</v>
      </c>
      <c r="AH13" s="14" t="s">
        <v>326</v>
      </c>
      <c r="AI13" s="14" t="s">
        <v>326</v>
      </c>
      <c r="AJ13" s="19" t="s">
        <v>326</v>
      </c>
      <c r="AK13" s="19" t="s">
        <v>326</v>
      </c>
      <c r="AL13" s="19" t="s">
        <v>463</v>
      </c>
      <c r="AM13" s="19" t="s">
        <v>464</v>
      </c>
      <c r="AN13" s="19" t="s">
        <v>359</v>
      </c>
      <c r="AO13" s="19" t="s">
        <v>326</v>
      </c>
      <c r="AP13" s="14" t="s">
        <v>326</v>
      </c>
      <c r="AQ13" s="14" t="s">
        <v>326</v>
      </c>
      <c r="AR13" s="14" t="s">
        <v>326</v>
      </c>
      <c r="AS13" s="14" t="s">
        <v>326</v>
      </c>
      <c r="AT13" s="14" t="s">
        <v>326</v>
      </c>
      <c r="AU13" s="14" t="s">
        <v>326</v>
      </c>
      <c r="AV13" s="14" t="str">
        <f t="shared" si="4"/>
        <v>PzD Muncheberg</v>
      </c>
    </row>
    <row r="14" spans="1:50" s="15" customFormat="1" ht="18.75" customHeight="1" x14ac:dyDescent="0.25">
      <c r="A14" s="15" t="s">
        <v>141</v>
      </c>
      <c r="B14" s="15">
        <v>4</v>
      </c>
      <c r="C14" s="15" t="s">
        <v>23</v>
      </c>
      <c r="D14" s="15" t="s">
        <v>6</v>
      </c>
      <c r="E14" s="15">
        <v>1</v>
      </c>
      <c r="F14" s="15">
        <v>20</v>
      </c>
      <c r="G14" s="15">
        <v>10</v>
      </c>
      <c r="H14" s="15">
        <f t="shared" si="0"/>
        <v>31</v>
      </c>
      <c r="I14" s="15">
        <f t="shared" si="1"/>
        <v>30</v>
      </c>
      <c r="J14" s="15">
        <f t="shared" si="2"/>
        <v>11</v>
      </c>
      <c r="K14" s="37" t="s">
        <v>146</v>
      </c>
      <c r="L14" s="17" t="s">
        <v>326</v>
      </c>
      <c r="M14" s="17" t="s">
        <v>326</v>
      </c>
      <c r="N14" s="17" t="s">
        <v>326</v>
      </c>
      <c r="O14" s="17" t="s">
        <v>326</v>
      </c>
      <c r="P14" s="17" t="s">
        <v>326</v>
      </c>
      <c r="Q14" s="17" t="s">
        <v>326</v>
      </c>
      <c r="R14" s="15" t="s">
        <v>326</v>
      </c>
      <c r="S14" s="15" t="s">
        <v>326</v>
      </c>
      <c r="T14" s="15" t="s">
        <v>326</v>
      </c>
      <c r="U14" s="15" t="s">
        <v>326</v>
      </c>
      <c r="V14" s="15" t="s">
        <v>326</v>
      </c>
      <c r="W14" s="15" t="s">
        <v>537</v>
      </c>
      <c r="X14" s="17" t="s">
        <v>326</v>
      </c>
      <c r="Y14" s="17"/>
      <c r="Z14" s="17" t="s">
        <v>326</v>
      </c>
      <c r="AA14" s="17" t="s">
        <v>330</v>
      </c>
      <c r="AB14" s="17" t="s">
        <v>326</v>
      </c>
      <c r="AC14" s="17" t="s">
        <v>484</v>
      </c>
      <c r="AD14" s="15" t="s">
        <v>326</v>
      </c>
      <c r="AE14" s="15" t="s">
        <v>326</v>
      </c>
      <c r="AF14" s="15" t="s">
        <v>326</v>
      </c>
      <c r="AG14" s="15" t="s">
        <v>326</v>
      </c>
      <c r="AH14" s="15" t="s">
        <v>466</v>
      </c>
      <c r="AI14" s="15" t="s">
        <v>326</v>
      </c>
      <c r="AJ14" s="17" t="s">
        <v>326</v>
      </c>
      <c r="AK14" s="17" t="s">
        <v>326</v>
      </c>
      <c r="AL14" s="17" t="s">
        <v>432</v>
      </c>
      <c r="AM14" s="17" t="s">
        <v>326</v>
      </c>
      <c r="AN14" s="17" t="s">
        <v>518</v>
      </c>
      <c r="AO14" s="17" t="s">
        <v>326</v>
      </c>
      <c r="AP14" s="15" t="s">
        <v>462</v>
      </c>
      <c r="AQ14" s="15" t="s">
        <v>326</v>
      </c>
      <c r="AR14" s="15" t="s">
        <v>326</v>
      </c>
      <c r="AS14" s="15" t="s">
        <v>326</v>
      </c>
      <c r="AT14" s="15" t="s">
        <v>326</v>
      </c>
      <c r="AU14" s="15" t="s">
        <v>326</v>
      </c>
      <c r="AV14" s="15" t="str">
        <f t="shared" si="4"/>
        <v>3rd Airborne</v>
      </c>
    </row>
    <row r="15" spans="1:50" s="15" customFormat="1" ht="18.75" customHeight="1" x14ac:dyDescent="0.25">
      <c r="A15" s="15" t="s">
        <v>141</v>
      </c>
      <c r="B15" s="15">
        <v>4</v>
      </c>
      <c r="C15" s="15" t="s">
        <v>23</v>
      </c>
      <c r="D15" s="15" t="s">
        <v>6</v>
      </c>
      <c r="E15" s="15">
        <v>1</v>
      </c>
      <c r="F15" s="15">
        <v>20</v>
      </c>
      <c r="G15" s="15">
        <v>10</v>
      </c>
      <c r="H15" s="15">
        <f t="shared" si="0"/>
        <v>31</v>
      </c>
      <c r="I15" s="15">
        <f t="shared" si="1"/>
        <v>30</v>
      </c>
      <c r="J15" s="15">
        <f t="shared" si="2"/>
        <v>11</v>
      </c>
      <c r="K15" s="37" t="s">
        <v>146</v>
      </c>
      <c r="L15" s="17" t="s">
        <v>326</v>
      </c>
      <c r="M15" s="17"/>
      <c r="N15" s="17"/>
      <c r="O15" s="17"/>
      <c r="P15" s="17"/>
      <c r="Q15" s="17"/>
      <c r="X15" s="17"/>
      <c r="Y15" s="17"/>
      <c r="Z15" s="17"/>
      <c r="AA15" s="17"/>
      <c r="AB15" s="17"/>
      <c r="AC15" s="17"/>
      <c r="AH15" s="15" t="s">
        <v>467</v>
      </c>
      <c r="AI15" s="15" t="s">
        <v>326</v>
      </c>
      <c r="AJ15" s="17"/>
      <c r="AK15" s="17"/>
      <c r="AL15" s="17"/>
      <c r="AM15" s="17"/>
      <c r="AN15" s="17"/>
      <c r="AO15" s="17"/>
      <c r="AV15" s="15" t="str">
        <f t="shared" si="4"/>
        <v>3rd Airborne</v>
      </c>
    </row>
    <row r="16" spans="1:50" s="15" customFormat="1" ht="18.75" customHeight="1" x14ac:dyDescent="0.25">
      <c r="A16" s="15" t="s">
        <v>139</v>
      </c>
      <c r="B16" s="15">
        <v>4</v>
      </c>
      <c r="C16" s="15" t="s">
        <v>21</v>
      </c>
      <c r="D16" s="15" t="s">
        <v>6</v>
      </c>
      <c r="E16" s="15">
        <v>1</v>
      </c>
      <c r="F16" s="15">
        <v>24</v>
      </c>
      <c r="G16" s="15">
        <v>9</v>
      </c>
      <c r="H16" s="15">
        <f t="shared" si="0"/>
        <v>34</v>
      </c>
      <c r="I16" s="15">
        <f t="shared" si="1"/>
        <v>33</v>
      </c>
      <c r="J16" s="15">
        <f t="shared" si="2"/>
        <v>10</v>
      </c>
      <c r="K16" s="37" t="s">
        <v>148</v>
      </c>
      <c r="L16" s="17" t="s">
        <v>326</v>
      </c>
      <c r="M16" s="17" t="s">
        <v>326</v>
      </c>
      <c r="N16" s="17" t="s">
        <v>326</v>
      </c>
      <c r="O16" s="17" t="s">
        <v>326</v>
      </c>
      <c r="P16" s="17" t="s">
        <v>326</v>
      </c>
      <c r="Q16" s="17" t="s">
        <v>326</v>
      </c>
      <c r="R16" s="15" t="s">
        <v>326</v>
      </c>
      <c r="S16" s="15" t="s">
        <v>326</v>
      </c>
      <c r="T16" s="15" t="s">
        <v>326</v>
      </c>
      <c r="U16" s="15" t="s">
        <v>326</v>
      </c>
      <c r="W16" s="15" t="s">
        <v>326</v>
      </c>
      <c r="X16" s="17" t="s">
        <v>337</v>
      </c>
      <c r="Y16" s="17" t="s">
        <v>326</v>
      </c>
      <c r="Z16" s="17" t="s">
        <v>326</v>
      </c>
      <c r="AA16" s="17" t="s">
        <v>478</v>
      </c>
      <c r="AB16" s="17" t="s">
        <v>326</v>
      </c>
      <c r="AC16" s="17" t="s">
        <v>326</v>
      </c>
      <c r="AD16" s="15" t="s">
        <v>326</v>
      </c>
      <c r="AE16" s="15" t="s">
        <v>326</v>
      </c>
      <c r="AF16" s="15" t="s">
        <v>326</v>
      </c>
      <c r="AG16" s="15" t="s">
        <v>338</v>
      </c>
      <c r="AH16" s="15" t="s">
        <v>516</v>
      </c>
      <c r="AI16" s="15" t="s">
        <v>326</v>
      </c>
      <c r="AJ16" s="17" t="s">
        <v>326</v>
      </c>
      <c r="AK16" s="17" t="s">
        <v>326</v>
      </c>
      <c r="AL16" s="17" t="s">
        <v>326</v>
      </c>
      <c r="AM16" s="17"/>
      <c r="AN16" s="17" t="s">
        <v>326</v>
      </c>
      <c r="AO16" s="17" t="s">
        <v>326</v>
      </c>
      <c r="AP16" s="15" t="s">
        <v>326</v>
      </c>
      <c r="AQ16" s="15" t="s">
        <v>326</v>
      </c>
      <c r="AR16" s="15" t="s">
        <v>507</v>
      </c>
      <c r="AS16" s="15" t="s">
        <v>326</v>
      </c>
      <c r="AT16" s="15" t="s">
        <v>326</v>
      </c>
      <c r="AU16" s="15" t="s">
        <v>326</v>
      </c>
      <c r="AV16" s="15" t="str">
        <f t="shared" si="4"/>
        <v>11th Squadron</v>
      </c>
    </row>
    <row r="17" spans="1:48" s="15" customFormat="1" ht="18.75" customHeight="1" x14ac:dyDescent="0.25">
      <c r="A17" s="15" t="s">
        <v>139</v>
      </c>
      <c r="B17" s="15">
        <v>4</v>
      </c>
      <c r="C17" s="15" t="s">
        <v>21</v>
      </c>
      <c r="D17" s="15" t="s">
        <v>6</v>
      </c>
      <c r="E17" s="15">
        <v>1</v>
      </c>
      <c r="F17" s="15">
        <v>24</v>
      </c>
      <c r="G17" s="15">
        <v>9</v>
      </c>
      <c r="H17" s="15">
        <f t="shared" si="0"/>
        <v>34</v>
      </c>
      <c r="I17" s="15">
        <f t="shared" si="1"/>
        <v>33</v>
      </c>
      <c r="J17" s="15">
        <f t="shared" si="2"/>
        <v>10</v>
      </c>
      <c r="K17" s="37" t="s">
        <v>148</v>
      </c>
      <c r="L17" s="17" t="s">
        <v>326</v>
      </c>
      <c r="M17" s="17"/>
      <c r="N17" s="17"/>
      <c r="O17" s="17"/>
      <c r="P17" s="17"/>
      <c r="Q17" s="17"/>
      <c r="X17" s="17"/>
      <c r="Y17" s="17"/>
      <c r="Z17" s="17"/>
      <c r="AA17" s="17"/>
      <c r="AB17" s="17"/>
      <c r="AC17" s="17"/>
      <c r="AJ17" s="17"/>
      <c r="AK17" s="17"/>
      <c r="AL17" s="17"/>
      <c r="AM17" s="17" t="s">
        <v>475</v>
      </c>
      <c r="AN17" s="17" t="s">
        <v>326</v>
      </c>
      <c r="AO17" s="17"/>
      <c r="AR17" s="15" t="s">
        <v>414</v>
      </c>
      <c r="AS17" s="15" t="s">
        <v>326</v>
      </c>
      <c r="AV17" s="15" t="str">
        <f t="shared" si="4"/>
        <v>11th Squadron</v>
      </c>
    </row>
    <row r="18" spans="1:48" s="15" customFormat="1" ht="18.75" customHeight="1" x14ac:dyDescent="0.25">
      <c r="A18" s="15" t="s">
        <v>139</v>
      </c>
      <c r="B18" s="15">
        <v>4</v>
      </c>
      <c r="C18" s="15" t="s">
        <v>21</v>
      </c>
      <c r="D18" s="15" t="s">
        <v>6</v>
      </c>
      <c r="E18" s="15">
        <v>1</v>
      </c>
      <c r="F18" s="15">
        <v>24</v>
      </c>
      <c r="G18" s="15">
        <v>9</v>
      </c>
      <c r="H18" s="15">
        <f t="shared" si="0"/>
        <v>34</v>
      </c>
      <c r="I18" s="15">
        <f t="shared" si="1"/>
        <v>33</v>
      </c>
      <c r="J18" s="15">
        <f t="shared" si="2"/>
        <v>10</v>
      </c>
      <c r="K18" s="37" t="s">
        <v>148</v>
      </c>
      <c r="L18" s="17" t="s">
        <v>326</v>
      </c>
      <c r="M18" s="17"/>
      <c r="N18" s="17"/>
      <c r="O18" s="17"/>
      <c r="P18" s="17"/>
      <c r="Q18" s="17"/>
      <c r="X18" s="17"/>
      <c r="Y18" s="17"/>
      <c r="Z18" s="17"/>
      <c r="AA18" s="17"/>
      <c r="AB18" s="17"/>
      <c r="AC18" s="17"/>
      <c r="AH18" s="15" t="s">
        <v>517</v>
      </c>
      <c r="AI18" s="15" t="s">
        <v>326</v>
      </c>
      <c r="AJ18" s="17"/>
      <c r="AK18" s="17"/>
      <c r="AL18" s="17"/>
      <c r="AM18" s="17"/>
      <c r="AN18" s="17"/>
      <c r="AO18" s="17"/>
      <c r="AV18" s="15" t="str">
        <f t="shared" si="4"/>
        <v>11th Squadron</v>
      </c>
    </row>
    <row r="19" spans="1:48" s="15" customFormat="1" ht="18.75" customHeight="1" x14ac:dyDescent="0.25">
      <c r="A19" s="15" t="s">
        <v>140</v>
      </c>
      <c r="B19" s="15">
        <v>4</v>
      </c>
      <c r="C19" s="15" t="s">
        <v>22</v>
      </c>
      <c r="D19" s="15" t="s">
        <v>6</v>
      </c>
      <c r="E19" s="15">
        <v>2</v>
      </c>
      <c r="F19" s="15">
        <v>22</v>
      </c>
      <c r="G19" s="15">
        <v>7</v>
      </c>
      <c r="H19" s="15">
        <f t="shared" si="0"/>
        <v>31</v>
      </c>
      <c r="I19" s="15">
        <f t="shared" si="1"/>
        <v>29</v>
      </c>
      <c r="J19" s="15">
        <f t="shared" si="2"/>
        <v>9</v>
      </c>
      <c r="K19" s="37" t="s">
        <v>147</v>
      </c>
      <c r="L19" s="17" t="s">
        <v>326</v>
      </c>
      <c r="M19" s="17" t="s">
        <v>326</v>
      </c>
      <c r="N19" s="17" t="s">
        <v>326</v>
      </c>
      <c r="O19" s="17" t="s">
        <v>326</v>
      </c>
      <c r="P19" s="17" t="s">
        <v>326</v>
      </c>
      <c r="Q19" s="17" t="s">
        <v>326</v>
      </c>
      <c r="R19" s="15" t="s">
        <v>326</v>
      </c>
      <c r="S19" s="15" t="s">
        <v>326</v>
      </c>
      <c r="T19" s="15" t="s">
        <v>326</v>
      </c>
      <c r="U19" s="15" t="s">
        <v>326</v>
      </c>
      <c r="V19" s="15" t="s">
        <v>326</v>
      </c>
      <c r="W19" s="15" t="s">
        <v>326</v>
      </c>
      <c r="X19" s="17" t="s">
        <v>326</v>
      </c>
      <c r="Y19" s="17" t="s">
        <v>326</v>
      </c>
      <c r="Z19" s="17" t="s">
        <v>326</v>
      </c>
      <c r="AA19" s="17" t="s">
        <v>453</v>
      </c>
      <c r="AB19" s="17" t="s">
        <v>326</v>
      </c>
      <c r="AC19" s="17" t="s">
        <v>326</v>
      </c>
      <c r="AD19" s="15" t="s">
        <v>326</v>
      </c>
      <c r="AE19" s="15" t="s">
        <v>326</v>
      </c>
      <c r="AF19" s="15" t="s">
        <v>326</v>
      </c>
      <c r="AG19" s="15" t="s">
        <v>326</v>
      </c>
      <c r="AH19" s="15" t="s">
        <v>510</v>
      </c>
      <c r="AI19" s="15" t="s">
        <v>326</v>
      </c>
      <c r="AJ19" s="17" t="s">
        <v>326</v>
      </c>
      <c r="AK19" s="17" t="s">
        <v>336</v>
      </c>
      <c r="AL19" s="17" t="s">
        <v>326</v>
      </c>
      <c r="AM19" s="17" t="s">
        <v>326</v>
      </c>
      <c r="AN19" s="17" t="s">
        <v>326</v>
      </c>
      <c r="AO19" s="17" t="s">
        <v>326</v>
      </c>
      <c r="AP19" s="15" t="s">
        <v>326</v>
      </c>
      <c r="AQ19" s="15" t="s">
        <v>326</v>
      </c>
      <c r="AR19" s="15" t="s">
        <v>326</v>
      </c>
      <c r="AS19" s="15" t="s">
        <v>326</v>
      </c>
      <c r="AT19" s="15" t="s">
        <v>326</v>
      </c>
      <c r="AU19" s="15" t="s">
        <v>326</v>
      </c>
      <c r="AV19" s="15" t="str">
        <f t="shared" si="4"/>
        <v>2nd Armored</v>
      </c>
    </row>
    <row r="20" spans="1:48" s="15" customFormat="1" ht="18.75" customHeight="1" x14ac:dyDescent="0.25">
      <c r="A20" s="15" t="s">
        <v>140</v>
      </c>
      <c r="B20" s="15">
        <v>4</v>
      </c>
      <c r="C20" s="15" t="s">
        <v>22</v>
      </c>
      <c r="D20" s="15" t="s">
        <v>6</v>
      </c>
      <c r="E20" s="15">
        <v>2</v>
      </c>
      <c r="F20" s="15">
        <v>22</v>
      </c>
      <c r="G20" s="15">
        <v>7</v>
      </c>
      <c r="H20" s="15">
        <f t="shared" si="0"/>
        <v>31</v>
      </c>
      <c r="I20" s="15">
        <f t="shared" si="1"/>
        <v>29</v>
      </c>
      <c r="J20" s="15">
        <f t="shared" si="2"/>
        <v>9</v>
      </c>
      <c r="K20" s="37" t="s">
        <v>147</v>
      </c>
      <c r="L20" s="17" t="s">
        <v>326</v>
      </c>
      <c r="M20" s="17"/>
      <c r="N20" s="17"/>
      <c r="O20" s="17"/>
      <c r="P20" s="17"/>
      <c r="Q20" s="17"/>
      <c r="X20" s="17"/>
      <c r="Y20" s="17"/>
      <c r="Z20" s="17"/>
      <c r="AA20" s="17"/>
      <c r="AB20" s="17"/>
      <c r="AC20" s="17"/>
      <c r="AH20" s="15" t="s">
        <v>511</v>
      </c>
      <c r="AI20" s="15" t="s">
        <v>326</v>
      </c>
      <c r="AJ20" s="17"/>
      <c r="AK20" s="17"/>
      <c r="AL20" s="17"/>
      <c r="AM20" s="17"/>
      <c r="AN20" s="17"/>
      <c r="AO20" s="17"/>
      <c r="AV20" s="15" t="str">
        <f t="shared" si="4"/>
        <v>2nd Armored</v>
      </c>
    </row>
    <row r="21" spans="1:48" s="14" customFormat="1" ht="18.75" customHeight="1" x14ac:dyDescent="0.25">
      <c r="A21" s="14" t="s">
        <v>171</v>
      </c>
      <c r="B21" s="14">
        <v>4</v>
      </c>
      <c r="C21" s="14" t="s">
        <v>23</v>
      </c>
      <c r="D21" s="14" t="s">
        <v>167</v>
      </c>
      <c r="E21" s="14">
        <v>2</v>
      </c>
      <c r="F21" s="14">
        <v>22</v>
      </c>
      <c r="G21" s="14">
        <v>7</v>
      </c>
      <c r="H21" s="14">
        <f t="shared" si="0"/>
        <v>31</v>
      </c>
      <c r="I21" s="14">
        <f t="shared" si="1"/>
        <v>29</v>
      </c>
      <c r="J21" s="14">
        <f t="shared" si="2"/>
        <v>9</v>
      </c>
      <c r="K21" s="39" t="s">
        <v>149</v>
      </c>
      <c r="L21" s="19" t="s">
        <v>326</v>
      </c>
      <c r="M21" s="19" t="s">
        <v>326</v>
      </c>
      <c r="N21" s="19" t="s">
        <v>326</v>
      </c>
      <c r="O21" s="19" t="s">
        <v>326</v>
      </c>
      <c r="P21" s="19" t="s">
        <v>326</v>
      </c>
      <c r="Q21" s="19" t="s">
        <v>326</v>
      </c>
      <c r="T21" s="14" t="s">
        <v>326</v>
      </c>
      <c r="U21" s="14" t="s">
        <v>326</v>
      </c>
      <c r="V21" s="14" t="s">
        <v>326</v>
      </c>
      <c r="W21" s="14" t="s">
        <v>326</v>
      </c>
      <c r="X21" s="19" t="s">
        <v>326</v>
      </c>
      <c r="Y21" s="19" t="s">
        <v>326</v>
      </c>
      <c r="Z21" s="19" t="s">
        <v>331</v>
      </c>
      <c r="AA21" s="19" t="s">
        <v>335</v>
      </c>
      <c r="AB21" s="19" t="s">
        <v>326</v>
      </c>
      <c r="AC21" s="19" t="s">
        <v>521</v>
      </c>
      <c r="AD21" s="14" t="s">
        <v>523</v>
      </c>
      <c r="AE21" s="14" t="s">
        <v>326</v>
      </c>
      <c r="AF21" s="14" t="s">
        <v>326</v>
      </c>
      <c r="AG21" s="14" t="s">
        <v>326</v>
      </c>
      <c r="AH21" s="14" t="s">
        <v>362</v>
      </c>
      <c r="AI21" s="14" t="s">
        <v>326</v>
      </c>
      <c r="AJ21" s="19" t="s">
        <v>326</v>
      </c>
      <c r="AK21" s="19" t="s">
        <v>326</v>
      </c>
      <c r="AL21" s="19" t="s">
        <v>326</v>
      </c>
      <c r="AM21" s="19" t="s">
        <v>457</v>
      </c>
      <c r="AN21" s="19" t="s">
        <v>326</v>
      </c>
      <c r="AO21" s="19" t="s">
        <v>326</v>
      </c>
      <c r="AP21" s="14" t="s">
        <v>329</v>
      </c>
      <c r="AQ21" s="14" t="s">
        <v>326</v>
      </c>
      <c r="AR21" s="14" t="s">
        <v>520</v>
      </c>
      <c r="AS21" s="14" t="s">
        <v>326</v>
      </c>
      <c r="AT21" s="14" t="s">
        <v>326</v>
      </c>
      <c r="AU21" s="14" t="s">
        <v>326</v>
      </c>
      <c r="AV21" s="14" t="str">
        <f t="shared" si="4"/>
        <v>PzD Schlesien</v>
      </c>
    </row>
    <row r="22" spans="1:48" s="14" customFormat="1" ht="18.75" customHeight="1" x14ac:dyDescent="0.25">
      <c r="A22" s="14" t="s">
        <v>171</v>
      </c>
      <c r="B22" s="14">
        <v>4</v>
      </c>
      <c r="C22" s="14" t="s">
        <v>23</v>
      </c>
      <c r="D22" s="14" t="s">
        <v>167</v>
      </c>
      <c r="E22" s="14">
        <v>2</v>
      </c>
      <c r="F22" s="14">
        <v>22</v>
      </c>
      <c r="G22" s="14">
        <v>7</v>
      </c>
      <c r="H22" s="14">
        <f t="shared" si="0"/>
        <v>31</v>
      </c>
      <c r="I22" s="14">
        <f t="shared" si="1"/>
        <v>29</v>
      </c>
      <c r="J22" s="14">
        <f t="shared" si="2"/>
        <v>9</v>
      </c>
      <c r="K22" s="39" t="s">
        <v>149</v>
      </c>
      <c r="L22" s="19" t="s">
        <v>326</v>
      </c>
      <c r="M22" s="19" t="s">
        <v>326</v>
      </c>
      <c r="N22" s="19" t="s">
        <v>326</v>
      </c>
      <c r="O22" s="19" t="s">
        <v>326</v>
      </c>
      <c r="P22" s="19" t="s">
        <v>326</v>
      </c>
      <c r="Q22" s="19" t="s">
        <v>326</v>
      </c>
      <c r="T22" s="14" t="s">
        <v>326</v>
      </c>
      <c r="U22" s="14" t="s">
        <v>326</v>
      </c>
      <c r="V22" s="14" t="s">
        <v>326</v>
      </c>
      <c r="X22" s="19"/>
      <c r="Y22" s="19"/>
      <c r="Z22" s="19"/>
      <c r="AA22" s="19"/>
      <c r="AB22" s="19"/>
      <c r="AC22" s="19"/>
      <c r="AH22" s="14" t="s">
        <v>485</v>
      </c>
      <c r="AI22" s="14" t="s">
        <v>326</v>
      </c>
      <c r="AJ22" s="19"/>
      <c r="AK22" s="19"/>
      <c r="AL22" s="19"/>
      <c r="AM22" s="19"/>
      <c r="AN22" s="19"/>
      <c r="AO22" s="19"/>
      <c r="AP22" s="14" t="s">
        <v>458</v>
      </c>
      <c r="AQ22" s="14" t="s">
        <v>326</v>
      </c>
      <c r="AS22" s="14" t="s">
        <v>326</v>
      </c>
      <c r="AT22" s="14" t="s">
        <v>326</v>
      </c>
      <c r="AU22" s="14" t="s">
        <v>326</v>
      </c>
      <c r="AV22" s="14" t="str">
        <f t="shared" ref="AV22:AV34" si="5">A22</f>
        <v>PzD Schlesien</v>
      </c>
    </row>
    <row r="23" spans="1:48" s="11" customFormat="1" ht="18.75" customHeight="1" x14ac:dyDescent="0.25">
      <c r="A23" s="11" t="s">
        <v>136</v>
      </c>
      <c r="B23" s="11">
        <v>4</v>
      </c>
      <c r="C23" s="11" t="s">
        <v>21</v>
      </c>
      <c r="D23" s="11" t="s">
        <v>166</v>
      </c>
      <c r="E23" s="11">
        <v>2</v>
      </c>
      <c r="F23" s="11">
        <v>29</v>
      </c>
      <c r="G23" s="11">
        <v>6</v>
      </c>
      <c r="H23" s="11">
        <f t="shared" si="0"/>
        <v>37</v>
      </c>
      <c r="I23" s="11">
        <f t="shared" si="1"/>
        <v>35</v>
      </c>
      <c r="J23" s="11">
        <f t="shared" si="2"/>
        <v>8</v>
      </c>
      <c r="K23" s="38" t="s">
        <v>154</v>
      </c>
      <c r="L23" s="18" t="s">
        <v>326</v>
      </c>
      <c r="M23" s="18" t="s">
        <v>326</v>
      </c>
      <c r="N23" s="18" t="s">
        <v>326</v>
      </c>
      <c r="O23" s="18" t="s">
        <v>326</v>
      </c>
      <c r="P23" s="18" t="s">
        <v>326</v>
      </c>
      <c r="Q23" s="18" t="s">
        <v>326</v>
      </c>
      <c r="T23" s="11" t="s">
        <v>326</v>
      </c>
      <c r="U23" s="11" t="s">
        <v>326</v>
      </c>
      <c r="V23" s="11" t="s">
        <v>326</v>
      </c>
      <c r="W23" s="11" t="s">
        <v>326</v>
      </c>
      <c r="X23" s="18" t="s">
        <v>429</v>
      </c>
      <c r="Y23" s="18" t="s">
        <v>326</v>
      </c>
      <c r="Z23" s="18" t="s">
        <v>430</v>
      </c>
      <c r="AA23" s="18" t="s">
        <v>326</v>
      </c>
      <c r="AB23" s="18" t="s">
        <v>476</v>
      </c>
      <c r="AC23" s="18" t="s">
        <v>326</v>
      </c>
      <c r="AD23" s="11" t="s">
        <v>326</v>
      </c>
      <c r="AE23" s="11" t="s">
        <v>326</v>
      </c>
      <c r="AF23" s="11" t="s">
        <v>326</v>
      </c>
      <c r="AG23" s="11" t="s">
        <v>326</v>
      </c>
      <c r="AH23" s="11" t="s">
        <v>326</v>
      </c>
      <c r="AI23" s="11" t="s">
        <v>326</v>
      </c>
      <c r="AJ23" s="18" t="s">
        <v>326</v>
      </c>
      <c r="AK23" s="18" t="s">
        <v>326</v>
      </c>
      <c r="AL23" s="18" t="s">
        <v>326</v>
      </c>
      <c r="AM23" s="18" t="s">
        <v>326</v>
      </c>
      <c r="AN23" s="18" t="s">
        <v>326</v>
      </c>
      <c r="AO23" s="18" t="s">
        <v>326</v>
      </c>
      <c r="AP23" s="11" t="s">
        <v>326</v>
      </c>
      <c r="AQ23" s="11" t="s">
        <v>326</v>
      </c>
      <c r="AR23" s="11" t="s">
        <v>326</v>
      </c>
      <c r="AS23" s="11" t="s">
        <v>326</v>
      </c>
      <c r="AT23" s="11" t="s">
        <v>326</v>
      </c>
      <c r="AU23" s="11" t="s">
        <v>326</v>
      </c>
      <c r="AV23" s="11" t="str">
        <f t="shared" ref="AV23" si="6">A23</f>
        <v>21-й танковый</v>
      </c>
    </row>
    <row r="24" spans="1:48" s="11" customFormat="1" ht="18.75" customHeight="1" x14ac:dyDescent="0.25">
      <c r="A24" s="11" t="s">
        <v>138</v>
      </c>
      <c r="B24" s="11">
        <v>4</v>
      </c>
      <c r="C24" s="11" t="s">
        <v>23</v>
      </c>
      <c r="D24" s="11" t="s">
        <v>166</v>
      </c>
      <c r="E24" s="11">
        <v>1</v>
      </c>
      <c r="F24" s="11">
        <v>22</v>
      </c>
      <c r="G24" s="11">
        <v>7</v>
      </c>
      <c r="H24" s="11">
        <f t="shared" si="0"/>
        <v>30</v>
      </c>
      <c r="I24" s="11">
        <f t="shared" si="1"/>
        <v>29</v>
      </c>
      <c r="J24" s="11">
        <f t="shared" si="2"/>
        <v>8</v>
      </c>
      <c r="K24" s="38" t="s">
        <v>152</v>
      </c>
      <c r="L24" s="18" t="s">
        <v>326</v>
      </c>
      <c r="M24" s="18" t="s">
        <v>326</v>
      </c>
      <c r="N24" s="18" t="s">
        <v>326</v>
      </c>
      <c r="O24" s="18" t="s">
        <v>326</v>
      </c>
      <c r="P24" s="18" t="s">
        <v>326</v>
      </c>
      <c r="Q24" s="18" t="s">
        <v>326</v>
      </c>
      <c r="T24" s="11" t="s">
        <v>326</v>
      </c>
      <c r="U24" s="11" t="s">
        <v>326</v>
      </c>
      <c r="V24" s="11" t="s">
        <v>326</v>
      </c>
      <c r="W24" s="11" t="s">
        <v>326</v>
      </c>
      <c r="X24" s="18" t="s">
        <v>326</v>
      </c>
      <c r="Y24" s="18" t="s">
        <v>326</v>
      </c>
      <c r="Z24" s="18" t="s">
        <v>326</v>
      </c>
      <c r="AA24" s="18" t="s">
        <v>326</v>
      </c>
      <c r="AB24" s="18" t="s">
        <v>436</v>
      </c>
      <c r="AC24" s="18" t="s">
        <v>326</v>
      </c>
      <c r="AD24" s="11" t="s">
        <v>326</v>
      </c>
      <c r="AE24" s="11" t="s">
        <v>326</v>
      </c>
      <c r="AF24" s="11" t="s">
        <v>326</v>
      </c>
      <c r="AG24" s="11" t="s">
        <v>339</v>
      </c>
      <c r="AH24" s="11" t="s">
        <v>325</v>
      </c>
      <c r="AI24" s="11" t="s">
        <v>326</v>
      </c>
      <c r="AJ24" s="18" t="s">
        <v>326</v>
      </c>
      <c r="AK24" s="18" t="s">
        <v>328</v>
      </c>
      <c r="AL24" s="18" t="s">
        <v>326</v>
      </c>
      <c r="AM24" s="18" t="s">
        <v>326</v>
      </c>
      <c r="AN24" s="18" t="s">
        <v>326</v>
      </c>
      <c r="AO24" s="18" t="s">
        <v>326</v>
      </c>
      <c r="AP24" s="11" t="s">
        <v>326</v>
      </c>
      <c r="AQ24" s="11" t="s">
        <v>326</v>
      </c>
      <c r="AR24" s="11" t="s">
        <v>326</v>
      </c>
      <c r="AS24" s="11" t="s">
        <v>326</v>
      </c>
      <c r="AT24" s="11" t="s">
        <v>326</v>
      </c>
      <c r="AU24" s="11" t="s">
        <v>326</v>
      </c>
      <c r="AV24" s="11" t="str">
        <f>A24</f>
        <v>3-я дивизия</v>
      </c>
    </row>
    <row r="25" spans="1:48" s="11" customFormat="1" ht="18.75" customHeight="1" x14ac:dyDescent="0.25">
      <c r="A25" s="11" t="s">
        <v>138</v>
      </c>
      <c r="B25" s="11">
        <v>4</v>
      </c>
      <c r="C25" s="11" t="s">
        <v>23</v>
      </c>
      <c r="D25" s="11" t="s">
        <v>166</v>
      </c>
      <c r="E25" s="11">
        <v>1</v>
      </c>
      <c r="F25" s="11">
        <v>22</v>
      </c>
      <c r="G25" s="11">
        <v>7</v>
      </c>
      <c r="H25" s="11">
        <f t="shared" si="0"/>
        <v>30</v>
      </c>
      <c r="I25" s="11">
        <f t="shared" si="1"/>
        <v>29</v>
      </c>
      <c r="J25" s="11">
        <f t="shared" si="2"/>
        <v>8</v>
      </c>
      <c r="K25" s="38" t="s">
        <v>152</v>
      </c>
      <c r="L25" s="18" t="s">
        <v>326</v>
      </c>
      <c r="M25" s="18" t="s">
        <v>326</v>
      </c>
      <c r="N25" s="18" t="s">
        <v>326</v>
      </c>
      <c r="O25" s="18" t="s">
        <v>326</v>
      </c>
      <c r="P25" s="18" t="s">
        <v>326</v>
      </c>
      <c r="Q25" s="18" t="s">
        <v>326</v>
      </c>
      <c r="R25" s="11" t="s">
        <v>326</v>
      </c>
      <c r="S25" s="11" t="s">
        <v>326</v>
      </c>
      <c r="T25" s="11" t="s">
        <v>326</v>
      </c>
      <c r="U25" s="11" t="s">
        <v>326</v>
      </c>
      <c r="V25" s="11" t="s">
        <v>326</v>
      </c>
      <c r="W25" s="11" t="s">
        <v>326</v>
      </c>
      <c r="X25" s="18" t="s">
        <v>326</v>
      </c>
      <c r="Y25" s="18" t="s">
        <v>326</v>
      </c>
      <c r="Z25" s="18" t="s">
        <v>326</v>
      </c>
      <c r="AA25" s="18"/>
      <c r="AB25" s="18"/>
      <c r="AC25" s="18"/>
      <c r="AJ25" s="18"/>
      <c r="AK25" s="18" t="s">
        <v>437</v>
      </c>
      <c r="AL25" s="18" t="s">
        <v>326</v>
      </c>
      <c r="AM25" s="18"/>
      <c r="AN25" s="18" t="s">
        <v>326</v>
      </c>
      <c r="AO25" s="18" t="s">
        <v>326</v>
      </c>
      <c r="AP25" s="11" t="s">
        <v>326</v>
      </c>
      <c r="AQ25" s="11" t="s">
        <v>326</v>
      </c>
      <c r="AR25" s="11" t="s">
        <v>326</v>
      </c>
      <c r="AS25" s="11" t="s">
        <v>326</v>
      </c>
      <c r="AT25" s="11" t="s">
        <v>326</v>
      </c>
      <c r="AU25" s="11" t="s">
        <v>326</v>
      </c>
      <c r="AV25" s="11" t="str">
        <f>A25</f>
        <v>3-я дивизия</v>
      </c>
    </row>
    <row r="26" spans="1:48" s="11" customFormat="1" ht="18.75" customHeight="1" x14ac:dyDescent="0.25">
      <c r="A26" s="11" t="s">
        <v>137</v>
      </c>
      <c r="B26" s="11">
        <v>4</v>
      </c>
      <c r="C26" s="11" t="s">
        <v>22</v>
      </c>
      <c r="D26" s="11" t="s">
        <v>166</v>
      </c>
      <c r="E26" s="11">
        <v>3</v>
      </c>
      <c r="F26" s="11">
        <v>26</v>
      </c>
      <c r="G26" s="11">
        <v>5</v>
      </c>
      <c r="H26" s="11">
        <f t="shared" si="0"/>
        <v>34</v>
      </c>
      <c r="I26" s="11">
        <f t="shared" si="1"/>
        <v>31</v>
      </c>
      <c r="J26" s="11">
        <f t="shared" si="2"/>
        <v>8</v>
      </c>
      <c r="K26" s="38" t="s">
        <v>153</v>
      </c>
      <c r="L26" s="18" t="s">
        <v>326</v>
      </c>
      <c r="M26" s="18" t="s">
        <v>326</v>
      </c>
      <c r="N26" s="18" t="s">
        <v>326</v>
      </c>
      <c r="O26" s="18" t="s">
        <v>326</v>
      </c>
      <c r="P26" s="18" t="s">
        <v>326</v>
      </c>
      <c r="Q26" s="18" t="s">
        <v>508</v>
      </c>
      <c r="R26" s="11" t="s">
        <v>326</v>
      </c>
      <c r="S26" s="11" t="s">
        <v>477</v>
      </c>
      <c r="T26" s="11" t="s">
        <v>326</v>
      </c>
      <c r="U26" s="11" t="s">
        <v>326</v>
      </c>
      <c r="V26" s="11" t="s">
        <v>326</v>
      </c>
      <c r="W26" s="11" t="s">
        <v>326</v>
      </c>
      <c r="X26" s="18" t="s">
        <v>440</v>
      </c>
      <c r="Y26" s="18" t="s">
        <v>444</v>
      </c>
      <c r="Z26" s="18" t="s">
        <v>326</v>
      </c>
      <c r="AA26" s="18" t="s">
        <v>443</v>
      </c>
      <c r="AB26" s="18" t="s">
        <v>441</v>
      </c>
      <c r="AC26" s="18" t="s">
        <v>442</v>
      </c>
      <c r="AD26" s="11" t="s">
        <v>326</v>
      </c>
      <c r="AE26" s="11" t="s">
        <v>449</v>
      </c>
      <c r="AF26" s="11" t="s">
        <v>326</v>
      </c>
      <c r="AG26" s="11" t="s">
        <v>445</v>
      </c>
      <c r="AH26" s="11" t="s">
        <v>326</v>
      </c>
      <c r="AI26" s="11" t="s">
        <v>326</v>
      </c>
      <c r="AJ26" s="18" t="s">
        <v>326</v>
      </c>
      <c r="AK26" s="18" t="s">
        <v>326</v>
      </c>
      <c r="AL26" s="18" t="s">
        <v>326</v>
      </c>
      <c r="AM26" s="18" t="s">
        <v>326</v>
      </c>
      <c r="AN26" s="18" t="s">
        <v>326</v>
      </c>
      <c r="AO26" s="18" t="s">
        <v>326</v>
      </c>
      <c r="AP26" s="11" t="s">
        <v>326</v>
      </c>
      <c r="AQ26" s="11" t="s">
        <v>326</v>
      </c>
      <c r="AR26" s="11" t="s">
        <v>326</v>
      </c>
      <c r="AS26" s="11" t="s">
        <v>326</v>
      </c>
      <c r="AT26" s="11" t="s">
        <v>326</v>
      </c>
      <c r="AU26" s="11" t="s">
        <v>326</v>
      </c>
      <c r="AV26" s="11" t="str">
        <f t="shared" si="5"/>
        <v>7-й танковый</v>
      </c>
    </row>
    <row r="27" spans="1:48" s="14" customFormat="1" ht="18.75" customHeight="1" x14ac:dyDescent="0.25">
      <c r="A27" s="14" t="s">
        <v>172</v>
      </c>
      <c r="B27" s="14">
        <v>4</v>
      </c>
      <c r="C27" s="14" t="s">
        <v>22</v>
      </c>
      <c r="D27" s="14" t="s">
        <v>167</v>
      </c>
      <c r="E27" s="14">
        <v>4</v>
      </c>
      <c r="F27" s="14">
        <v>24</v>
      </c>
      <c r="G27" s="14">
        <v>4</v>
      </c>
      <c r="H27" s="14">
        <f t="shared" si="0"/>
        <v>32</v>
      </c>
      <c r="I27" s="14">
        <f t="shared" si="1"/>
        <v>28</v>
      </c>
      <c r="J27" s="14">
        <f t="shared" si="2"/>
        <v>8</v>
      </c>
      <c r="K27" s="39" t="s">
        <v>150</v>
      </c>
      <c r="L27" s="19" t="s">
        <v>326</v>
      </c>
      <c r="M27" s="19" t="s">
        <v>326</v>
      </c>
      <c r="N27" s="19" t="s">
        <v>326</v>
      </c>
      <c r="O27" s="19" t="s">
        <v>326</v>
      </c>
      <c r="P27" s="19" t="s">
        <v>326</v>
      </c>
      <c r="Q27" s="19" t="s">
        <v>326</v>
      </c>
      <c r="R27" s="14" t="s">
        <v>326</v>
      </c>
      <c r="S27" s="14" t="s">
        <v>326</v>
      </c>
      <c r="T27" s="14" t="s">
        <v>326</v>
      </c>
      <c r="U27" s="14" t="s">
        <v>326</v>
      </c>
      <c r="V27" s="14" t="s">
        <v>326</v>
      </c>
      <c r="W27" s="14" t="s">
        <v>326</v>
      </c>
      <c r="X27" s="19" t="s">
        <v>421</v>
      </c>
      <c r="Y27" s="19" t="s">
        <v>333</v>
      </c>
      <c r="Z27" s="19" t="s">
        <v>326</v>
      </c>
      <c r="AA27" s="19" t="s">
        <v>326</v>
      </c>
      <c r="AB27" s="19" t="s">
        <v>326</v>
      </c>
      <c r="AC27" s="19" t="s">
        <v>326</v>
      </c>
      <c r="AD27" s="14" t="s">
        <v>326</v>
      </c>
      <c r="AE27" s="14" t="s">
        <v>332</v>
      </c>
      <c r="AF27" s="14" t="s">
        <v>326</v>
      </c>
      <c r="AG27" s="14" t="s">
        <v>326</v>
      </c>
      <c r="AH27" s="14" t="s">
        <v>425</v>
      </c>
      <c r="AI27" s="14" t="s">
        <v>461</v>
      </c>
      <c r="AJ27" s="19" t="s">
        <v>334</v>
      </c>
      <c r="AK27" s="19" t="s">
        <v>460</v>
      </c>
      <c r="AL27" s="19" t="s">
        <v>326</v>
      </c>
      <c r="AM27" s="19" t="s">
        <v>326</v>
      </c>
      <c r="AN27" s="19" t="s">
        <v>326</v>
      </c>
      <c r="AO27" s="19" t="s">
        <v>326</v>
      </c>
      <c r="AP27" s="14" t="s">
        <v>326</v>
      </c>
      <c r="AQ27" s="14" t="s">
        <v>326</v>
      </c>
      <c r="AR27" s="14" t="s">
        <v>326</v>
      </c>
      <c r="AS27" s="14" t="s">
        <v>326</v>
      </c>
      <c r="AT27" s="14" t="s">
        <v>326</v>
      </c>
      <c r="AU27" s="14" t="s">
        <v>326</v>
      </c>
      <c r="AV27" s="14" t="str">
        <f t="shared" si="5"/>
        <v>PzD Juterbog</v>
      </c>
    </row>
    <row r="28" spans="1:48" s="14" customFormat="1" ht="18.75" customHeight="1" x14ac:dyDescent="0.25">
      <c r="A28" s="14" t="s">
        <v>172</v>
      </c>
      <c r="B28" s="14">
        <v>4</v>
      </c>
      <c r="C28" s="14" t="s">
        <v>22</v>
      </c>
      <c r="D28" s="14" t="s">
        <v>167</v>
      </c>
      <c r="E28" s="14">
        <v>4</v>
      </c>
      <c r="F28" s="14">
        <v>24</v>
      </c>
      <c r="G28" s="14">
        <v>4</v>
      </c>
      <c r="H28" s="14">
        <f t="shared" si="0"/>
        <v>32</v>
      </c>
      <c r="I28" s="14">
        <f t="shared" si="1"/>
        <v>28</v>
      </c>
      <c r="J28" s="14">
        <f t="shared" si="2"/>
        <v>8</v>
      </c>
      <c r="K28" s="39" t="s">
        <v>150</v>
      </c>
      <c r="L28" s="19" t="s">
        <v>326</v>
      </c>
      <c r="M28" s="19" t="s">
        <v>326</v>
      </c>
      <c r="N28" s="19" t="s">
        <v>326</v>
      </c>
      <c r="O28" s="19" t="s">
        <v>326</v>
      </c>
      <c r="P28" s="19" t="s">
        <v>326</v>
      </c>
      <c r="Q28" s="19" t="s">
        <v>326</v>
      </c>
      <c r="R28" s="14" t="s">
        <v>326</v>
      </c>
      <c r="S28" s="14" t="s">
        <v>326</v>
      </c>
      <c r="T28" s="14" t="s">
        <v>326</v>
      </c>
      <c r="U28" s="14" t="s">
        <v>326</v>
      </c>
      <c r="X28" s="19"/>
      <c r="Y28" s="19" t="s">
        <v>423</v>
      </c>
      <c r="Z28" s="19" t="s">
        <v>326</v>
      </c>
      <c r="AA28" s="19"/>
      <c r="AB28" s="19"/>
      <c r="AC28" s="19"/>
      <c r="AH28" s="14" t="s">
        <v>509</v>
      </c>
      <c r="AI28" s="14" t="s">
        <v>326</v>
      </c>
      <c r="AJ28" s="19"/>
      <c r="AK28" s="19"/>
      <c r="AL28" s="19"/>
      <c r="AM28" s="19"/>
      <c r="AN28" s="19" t="s">
        <v>326</v>
      </c>
      <c r="AO28" s="19" t="s">
        <v>326</v>
      </c>
      <c r="AP28" s="14" t="s">
        <v>326</v>
      </c>
      <c r="AQ28" s="14" t="s">
        <v>326</v>
      </c>
      <c r="AR28" s="14" t="s">
        <v>326</v>
      </c>
      <c r="AS28" s="14" t="s">
        <v>326</v>
      </c>
      <c r="AT28" s="14" t="s">
        <v>326</v>
      </c>
      <c r="AU28" s="14" t="s">
        <v>326</v>
      </c>
      <c r="AV28" s="14" t="str">
        <f t="shared" si="5"/>
        <v>PzD Juterbog</v>
      </c>
    </row>
    <row r="29" spans="1:48" s="14" customFormat="1" ht="18.75" customHeight="1" x14ac:dyDescent="0.25">
      <c r="A29" s="14" t="s">
        <v>173</v>
      </c>
      <c r="B29" s="14">
        <v>4</v>
      </c>
      <c r="C29" s="14" t="s">
        <v>21</v>
      </c>
      <c r="D29" s="14" t="s">
        <v>167</v>
      </c>
      <c r="E29" s="14">
        <v>2</v>
      </c>
      <c r="F29" s="14">
        <v>25</v>
      </c>
      <c r="G29" s="14">
        <v>6</v>
      </c>
      <c r="H29" s="14">
        <f t="shared" si="0"/>
        <v>33</v>
      </c>
      <c r="I29" s="14">
        <f t="shared" si="1"/>
        <v>31</v>
      </c>
      <c r="J29" s="14">
        <f t="shared" si="2"/>
        <v>8</v>
      </c>
      <c r="K29" s="39" t="s">
        <v>151</v>
      </c>
      <c r="L29" s="19" t="s">
        <v>326</v>
      </c>
      <c r="M29" s="19" t="s">
        <v>326</v>
      </c>
      <c r="N29" s="19" t="s">
        <v>326</v>
      </c>
      <c r="O29" s="19" t="s">
        <v>326</v>
      </c>
      <c r="P29" s="19" t="s">
        <v>326</v>
      </c>
      <c r="Q29" s="19" t="s">
        <v>448</v>
      </c>
      <c r="R29" s="14" t="s">
        <v>326</v>
      </c>
      <c r="S29" s="14" t="s">
        <v>459</v>
      </c>
      <c r="T29" s="14" t="s">
        <v>326</v>
      </c>
      <c r="U29" s="14" t="s">
        <v>447</v>
      </c>
      <c r="V29" s="14" t="s">
        <v>326</v>
      </c>
      <c r="W29" s="14" t="s">
        <v>468</v>
      </c>
      <c r="X29" s="19" t="s">
        <v>426</v>
      </c>
      <c r="Y29" s="19" t="s">
        <v>326</v>
      </c>
      <c r="Z29" s="19" t="s">
        <v>326</v>
      </c>
      <c r="AA29" s="19" t="s">
        <v>469</v>
      </c>
      <c r="AB29" s="19" t="s">
        <v>428</v>
      </c>
      <c r="AC29" s="19" t="s">
        <v>326</v>
      </c>
      <c r="AD29" s="14" t="s">
        <v>326</v>
      </c>
      <c r="AE29" s="14" t="s">
        <v>326</v>
      </c>
      <c r="AF29" s="14" t="s">
        <v>427</v>
      </c>
      <c r="AG29" s="14" t="s">
        <v>446</v>
      </c>
      <c r="AI29" s="14" t="s">
        <v>326</v>
      </c>
      <c r="AJ29" s="19" t="s">
        <v>326</v>
      </c>
      <c r="AK29" s="19" t="s">
        <v>326</v>
      </c>
      <c r="AL29" s="19" t="s">
        <v>326</v>
      </c>
      <c r="AM29" s="19" t="s">
        <v>326</v>
      </c>
      <c r="AN29" s="19" t="s">
        <v>326</v>
      </c>
      <c r="AO29" s="19" t="s">
        <v>326</v>
      </c>
      <c r="AP29" s="14" t="s">
        <v>326</v>
      </c>
      <c r="AQ29" s="14" t="s">
        <v>326</v>
      </c>
      <c r="AR29" s="14" t="s">
        <v>487</v>
      </c>
      <c r="AS29" s="14" t="s">
        <v>326</v>
      </c>
      <c r="AT29" s="14" t="s">
        <v>326</v>
      </c>
      <c r="AU29" s="14" t="s">
        <v>326</v>
      </c>
      <c r="AV29" s="14" t="str">
        <f t="shared" si="5"/>
        <v>PzD Kurmark</v>
      </c>
    </row>
    <row r="30" spans="1:48" s="14" customFormat="1" ht="18.75" customHeight="1" x14ac:dyDescent="0.25">
      <c r="A30" s="14" t="s">
        <v>173</v>
      </c>
      <c r="B30" s="14">
        <v>4</v>
      </c>
      <c r="C30" s="14" t="s">
        <v>21</v>
      </c>
      <c r="D30" s="14" t="s">
        <v>167</v>
      </c>
      <c r="E30" s="14">
        <v>2</v>
      </c>
      <c r="F30" s="14">
        <v>25</v>
      </c>
      <c r="G30" s="14">
        <v>6</v>
      </c>
      <c r="H30" s="14">
        <f t="shared" si="0"/>
        <v>33</v>
      </c>
      <c r="I30" s="14">
        <f t="shared" si="1"/>
        <v>31</v>
      </c>
      <c r="J30" s="14">
        <f t="shared" si="2"/>
        <v>8</v>
      </c>
      <c r="K30" s="39" t="s">
        <v>151</v>
      </c>
      <c r="L30" s="19" t="s">
        <v>326</v>
      </c>
      <c r="M30" s="19" t="s">
        <v>326</v>
      </c>
      <c r="N30" s="19" t="s">
        <v>326</v>
      </c>
      <c r="O30" s="19"/>
      <c r="P30" s="19"/>
      <c r="Q30" s="19"/>
      <c r="X30" s="19"/>
      <c r="Y30" s="19"/>
      <c r="Z30" s="19"/>
      <c r="AA30" s="19"/>
      <c r="AB30" s="19"/>
      <c r="AC30" s="19"/>
      <c r="AG30" s="14" t="s">
        <v>538</v>
      </c>
      <c r="AH30" s="14" t="s">
        <v>740</v>
      </c>
      <c r="AI30" s="14" t="s">
        <v>326</v>
      </c>
      <c r="AJ30" s="19"/>
      <c r="AK30" s="19"/>
      <c r="AL30" s="19" t="s">
        <v>326</v>
      </c>
      <c r="AM30" s="19" t="s">
        <v>326</v>
      </c>
      <c r="AN30" s="19" t="s">
        <v>326</v>
      </c>
      <c r="AO30" s="19" t="s">
        <v>326</v>
      </c>
      <c r="AP30" s="14" t="s">
        <v>326</v>
      </c>
      <c r="AQ30" s="14" t="s">
        <v>326</v>
      </c>
      <c r="AR30" s="14" t="s">
        <v>326</v>
      </c>
      <c r="AS30" s="14" t="s">
        <v>326</v>
      </c>
      <c r="AT30" s="14" t="s">
        <v>326</v>
      </c>
      <c r="AU30" s="14" t="s">
        <v>326</v>
      </c>
      <c r="AV30" s="14" t="str">
        <f t="shared" si="5"/>
        <v>PzD Kurmark</v>
      </c>
    </row>
    <row r="31" spans="1:48" s="15" customFormat="1" ht="18.75" customHeight="1" x14ac:dyDescent="0.25">
      <c r="A31" s="15" t="s">
        <v>134</v>
      </c>
      <c r="B31" s="15">
        <v>1</v>
      </c>
      <c r="C31" s="15" t="s">
        <v>133</v>
      </c>
      <c r="D31" s="15" t="s">
        <v>6</v>
      </c>
      <c r="E31" s="15">
        <v>1</v>
      </c>
      <c r="F31" s="15">
        <v>16</v>
      </c>
      <c r="G31" s="15">
        <v>6</v>
      </c>
      <c r="H31" s="15">
        <f t="shared" si="0"/>
        <v>23</v>
      </c>
      <c r="I31" s="15">
        <f t="shared" si="1"/>
        <v>22</v>
      </c>
      <c r="J31" s="15">
        <f t="shared" si="2"/>
        <v>7</v>
      </c>
      <c r="K31" s="37"/>
      <c r="L31" s="17" t="s">
        <v>326</v>
      </c>
      <c r="M31" s="17" t="s">
        <v>326</v>
      </c>
      <c r="N31" s="17" t="s">
        <v>326</v>
      </c>
      <c r="O31" s="17" t="s">
        <v>326</v>
      </c>
      <c r="P31" s="17" t="s">
        <v>326</v>
      </c>
      <c r="Q31" s="17" t="s">
        <v>326</v>
      </c>
      <c r="R31" s="15" t="s">
        <v>326</v>
      </c>
      <c r="S31" s="15" t="s">
        <v>326</v>
      </c>
      <c r="T31" s="15" t="s">
        <v>326</v>
      </c>
      <c r="U31" s="15" t="s">
        <v>326</v>
      </c>
      <c r="V31" s="15" t="s">
        <v>326</v>
      </c>
      <c r="W31" s="15" t="s">
        <v>326</v>
      </c>
      <c r="X31" s="17" t="s">
        <v>326</v>
      </c>
      <c r="Y31" s="17" t="s">
        <v>326</v>
      </c>
      <c r="Z31" s="17" t="s">
        <v>326</v>
      </c>
      <c r="AA31" s="17" t="s">
        <v>326</v>
      </c>
      <c r="AB31" s="17" t="s">
        <v>326</v>
      </c>
      <c r="AC31" s="17" t="s">
        <v>326</v>
      </c>
      <c r="AD31" s="15" t="s">
        <v>326</v>
      </c>
      <c r="AE31" s="15" t="s">
        <v>326</v>
      </c>
      <c r="AF31" s="15" t="s">
        <v>326</v>
      </c>
      <c r="AG31" s="15" t="s">
        <v>326</v>
      </c>
      <c r="AH31" s="15" t="s">
        <v>326</v>
      </c>
      <c r="AI31" s="15" t="s">
        <v>326</v>
      </c>
      <c r="AJ31" s="17" t="s">
        <v>326</v>
      </c>
      <c r="AK31" s="17" t="s">
        <v>326</v>
      </c>
      <c r="AL31" s="17" t="s">
        <v>326</v>
      </c>
      <c r="AM31" s="17" t="s">
        <v>326</v>
      </c>
      <c r="AN31" s="17" t="s">
        <v>326</v>
      </c>
      <c r="AO31" s="17" t="s">
        <v>326</v>
      </c>
      <c r="AP31" s="15" t="s">
        <v>326</v>
      </c>
      <c r="AQ31" s="15" t="s">
        <v>326</v>
      </c>
      <c r="AR31" s="15" t="s">
        <v>326</v>
      </c>
      <c r="AS31" s="15" t="s">
        <v>326</v>
      </c>
      <c r="AT31" s="15" t="s">
        <v>326</v>
      </c>
      <c r="AU31" s="15" t="s">
        <v>326</v>
      </c>
      <c r="AV31" s="15" t="str">
        <f t="shared" si="5"/>
        <v>Training Camp</v>
      </c>
    </row>
    <row r="32" spans="1:48" s="14" customFormat="1" ht="18.75" customHeight="1" x14ac:dyDescent="0.25">
      <c r="A32" s="14" t="s">
        <v>132</v>
      </c>
      <c r="B32" s="14">
        <v>1</v>
      </c>
      <c r="C32" s="14" t="s">
        <v>133</v>
      </c>
      <c r="D32" s="14" t="s">
        <v>167</v>
      </c>
      <c r="E32" s="14">
        <v>2</v>
      </c>
      <c r="F32" s="14">
        <v>17</v>
      </c>
      <c r="G32" s="14">
        <v>4</v>
      </c>
      <c r="H32" s="14">
        <f t="shared" si="0"/>
        <v>23</v>
      </c>
      <c r="I32" s="14">
        <f t="shared" si="1"/>
        <v>21</v>
      </c>
      <c r="J32" s="14">
        <f t="shared" si="2"/>
        <v>6</v>
      </c>
      <c r="K32" s="39"/>
      <c r="L32" s="19" t="s">
        <v>326</v>
      </c>
      <c r="M32" s="19" t="s">
        <v>326</v>
      </c>
      <c r="N32" s="19" t="s">
        <v>525</v>
      </c>
      <c r="O32" s="19" t="s">
        <v>326</v>
      </c>
      <c r="P32" s="19" t="s">
        <v>326</v>
      </c>
      <c r="Q32" s="19" t="s">
        <v>326</v>
      </c>
      <c r="R32" s="14" t="s">
        <v>326</v>
      </c>
      <c r="S32" s="14" t="s">
        <v>326</v>
      </c>
      <c r="T32" s="14" t="s">
        <v>326</v>
      </c>
      <c r="U32" s="14" t="s">
        <v>326</v>
      </c>
      <c r="V32" s="14" t="s">
        <v>326</v>
      </c>
      <c r="W32" s="14" t="s">
        <v>524</v>
      </c>
      <c r="X32" s="19" t="s">
        <v>326</v>
      </c>
      <c r="Y32" s="19" t="s">
        <v>326</v>
      </c>
      <c r="Z32" s="19" t="s">
        <v>326</v>
      </c>
      <c r="AA32" s="19" t="s">
        <v>326</v>
      </c>
      <c r="AB32" s="19" t="s">
        <v>326</v>
      </c>
      <c r="AC32" s="19" t="s">
        <v>326</v>
      </c>
      <c r="AD32" s="14" t="s">
        <v>326</v>
      </c>
      <c r="AE32" s="14" t="s">
        <v>326</v>
      </c>
      <c r="AF32" s="14" t="s">
        <v>326</v>
      </c>
      <c r="AG32" s="14" t="s">
        <v>326</v>
      </c>
      <c r="AH32" s="14" t="s">
        <v>326</v>
      </c>
      <c r="AI32" s="14" t="s">
        <v>326</v>
      </c>
      <c r="AJ32" s="19" t="s">
        <v>326</v>
      </c>
      <c r="AK32" s="19" t="s">
        <v>326</v>
      </c>
      <c r="AL32" s="19" t="s">
        <v>326</v>
      </c>
      <c r="AM32" s="19" t="s">
        <v>326</v>
      </c>
      <c r="AN32" s="19" t="s">
        <v>326</v>
      </c>
      <c r="AO32" s="19" t="s">
        <v>326</v>
      </c>
      <c r="AP32" s="14" t="s">
        <v>326</v>
      </c>
      <c r="AQ32" s="14" t="s">
        <v>326</v>
      </c>
      <c r="AR32" s="14" t="s">
        <v>326</v>
      </c>
      <c r="AS32" s="14" t="s">
        <v>326</v>
      </c>
      <c r="AT32" s="14" t="s">
        <v>326</v>
      </c>
      <c r="AU32" s="14" t="s">
        <v>326</v>
      </c>
      <c r="AV32" s="14" t="str">
        <f t="shared" si="5"/>
        <v>Trainingslager</v>
      </c>
    </row>
    <row r="33" spans="1:48" s="14" customFormat="1" ht="18.75" customHeight="1" x14ac:dyDescent="0.25">
      <c r="A33" s="14" t="s">
        <v>132</v>
      </c>
      <c r="B33" s="14">
        <v>1</v>
      </c>
      <c r="C33" s="14" t="s">
        <v>133</v>
      </c>
      <c r="D33" s="14" t="s">
        <v>167</v>
      </c>
      <c r="E33" s="14">
        <v>2</v>
      </c>
      <c r="F33" s="14">
        <v>17</v>
      </c>
      <c r="G33" s="14">
        <v>4</v>
      </c>
      <c r="H33" s="14">
        <f t="shared" si="0"/>
        <v>23</v>
      </c>
      <c r="I33" s="14">
        <f t="shared" si="1"/>
        <v>21</v>
      </c>
      <c r="J33" s="14">
        <f t="shared" si="2"/>
        <v>6</v>
      </c>
      <c r="K33" s="39"/>
      <c r="L33" s="19"/>
      <c r="M33" s="19"/>
      <c r="N33" s="19" t="s">
        <v>528</v>
      </c>
      <c r="O33" s="19" t="s">
        <v>326</v>
      </c>
      <c r="P33" s="19"/>
      <c r="Q33" s="19"/>
      <c r="X33" s="19"/>
      <c r="Y33" s="19"/>
      <c r="Z33" s="19"/>
      <c r="AA33" s="19"/>
      <c r="AB33" s="19"/>
      <c r="AC33" s="19"/>
      <c r="AJ33" s="19"/>
      <c r="AK33" s="19"/>
      <c r="AL33" s="19"/>
      <c r="AM33" s="19"/>
      <c r="AN33" s="19"/>
      <c r="AO33" s="19"/>
      <c r="AV33" s="14" t="str">
        <f t="shared" si="5"/>
        <v>Trainingslager</v>
      </c>
    </row>
    <row r="34" spans="1:48" s="11" customFormat="1" ht="18.75" customHeight="1" x14ac:dyDescent="0.25">
      <c r="A34" s="11" t="s">
        <v>135</v>
      </c>
      <c r="B34" s="11">
        <v>1</v>
      </c>
      <c r="C34" s="11" t="s">
        <v>133</v>
      </c>
      <c r="D34" s="11" t="s">
        <v>166</v>
      </c>
      <c r="E34" s="11">
        <v>1</v>
      </c>
      <c r="F34" s="11">
        <v>20</v>
      </c>
      <c r="G34" s="11">
        <v>5</v>
      </c>
      <c r="H34" s="11">
        <f t="shared" si="0"/>
        <v>26</v>
      </c>
      <c r="I34" s="11">
        <f t="shared" si="1"/>
        <v>25</v>
      </c>
      <c r="J34" s="11">
        <f t="shared" si="2"/>
        <v>6</v>
      </c>
      <c r="K34" s="38"/>
      <c r="L34" s="18" t="s">
        <v>326</v>
      </c>
      <c r="M34" s="18" t="s">
        <v>326</v>
      </c>
      <c r="N34" s="18" t="s">
        <v>326</v>
      </c>
      <c r="O34" s="18" t="s">
        <v>326</v>
      </c>
      <c r="P34" s="18" t="s">
        <v>326</v>
      </c>
      <c r="Q34" s="18" t="s">
        <v>326</v>
      </c>
      <c r="R34" s="11" t="s">
        <v>326</v>
      </c>
      <c r="S34" s="11" t="s">
        <v>326</v>
      </c>
      <c r="T34" s="11" t="s">
        <v>326</v>
      </c>
      <c r="U34" s="11" t="s">
        <v>326</v>
      </c>
      <c r="V34" s="11" t="s">
        <v>326</v>
      </c>
      <c r="W34" s="11" t="s">
        <v>326</v>
      </c>
      <c r="X34" s="18" t="s">
        <v>326</v>
      </c>
      <c r="Y34" s="18" t="s">
        <v>326</v>
      </c>
      <c r="Z34" s="18" t="s">
        <v>326</v>
      </c>
      <c r="AA34" s="18" t="s">
        <v>326</v>
      </c>
      <c r="AB34" s="18" t="s">
        <v>326</v>
      </c>
      <c r="AC34" s="18" t="s">
        <v>326</v>
      </c>
      <c r="AD34" s="11" t="s">
        <v>326</v>
      </c>
      <c r="AE34" s="11" t="s">
        <v>326</v>
      </c>
      <c r="AF34" s="11" t="s">
        <v>326</v>
      </c>
      <c r="AG34" s="11" t="s">
        <v>326</v>
      </c>
      <c r="AH34" s="11" t="s">
        <v>326</v>
      </c>
      <c r="AI34" s="11" t="s">
        <v>326</v>
      </c>
      <c r="AJ34" s="18" t="s">
        <v>326</v>
      </c>
      <c r="AK34" s="18" t="s">
        <v>326</v>
      </c>
      <c r="AL34" s="18" t="s">
        <v>326</v>
      </c>
      <c r="AM34" s="18" t="s">
        <v>326</v>
      </c>
      <c r="AN34" s="18" t="s">
        <v>326</v>
      </c>
      <c r="AO34" s="18" t="s">
        <v>326</v>
      </c>
      <c r="AP34" s="11" t="s">
        <v>326</v>
      </c>
      <c r="AQ34" s="11" t="s">
        <v>326</v>
      </c>
      <c r="AR34" s="11" t="s">
        <v>326</v>
      </c>
      <c r="AS34" s="11" t="s">
        <v>326</v>
      </c>
      <c r="AT34" s="11" t="s">
        <v>326</v>
      </c>
      <c r="AU34" s="11" t="s">
        <v>326</v>
      </c>
      <c r="AV34" s="11" t="str">
        <f t="shared" si="5"/>
        <v>Учебная Часть</v>
      </c>
    </row>
    <row r="35" spans="1:48" ht="18.75" customHeight="1" x14ac:dyDescent="0.25">
      <c r="AM35" s="48" t="s">
        <v>326</v>
      </c>
    </row>
    <row r="36" spans="1:48" ht="18.75" customHeight="1" x14ac:dyDescent="0.25">
      <c r="AM36" s="48" t="s">
        <v>326</v>
      </c>
    </row>
    <row r="37" spans="1:48" ht="18.75" customHeight="1" x14ac:dyDescent="0.25">
      <c r="AM37" s="48" t="s">
        <v>326</v>
      </c>
    </row>
  </sheetData>
  <autoFilter ref="A2:AU37">
    <sortState ref="A3:AU37">
      <sortCondition descending="1" ref="B2:B37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pplyStyle">
                <anchor moveWithCells="1" sizeWithCells="1">
                  <from>
                    <xdr:col>47</xdr:col>
                    <xdr:colOff>161925</xdr:colOff>
                    <xdr:row>0</xdr:row>
                    <xdr:rowOff>28575</xdr:rowOff>
                  </from>
                  <to>
                    <xdr:col>49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U50"/>
  <sheetViews>
    <sheetView topLeftCell="B1" workbookViewId="0">
      <selection activeCell="H44" sqref="H44"/>
    </sheetView>
  </sheetViews>
  <sheetFormatPr defaultRowHeight="10.5" customHeight="1" x14ac:dyDescent="0.25"/>
  <cols>
    <col min="12" max="25" width="9.140625" style="31"/>
    <col min="26" max="26" width="17.7109375" style="31" customWidth="1"/>
    <col min="27" max="47" width="9.140625" style="31"/>
  </cols>
  <sheetData>
    <row r="1" spans="1:29" ht="10.5" customHeight="1" x14ac:dyDescent="0.3">
      <c r="A1" s="3" t="s">
        <v>504</v>
      </c>
      <c r="D1">
        <v>1</v>
      </c>
      <c r="E1">
        <v>2939</v>
      </c>
      <c r="G1">
        <v>51</v>
      </c>
      <c r="K1">
        <v>1</v>
      </c>
      <c r="L1" s="31">
        <v>3264</v>
      </c>
      <c r="N1" s="31">
        <v>51</v>
      </c>
      <c r="R1" s="31" t="s">
        <v>491</v>
      </c>
    </row>
    <row r="2" spans="1:29" ht="10.5" customHeight="1" x14ac:dyDescent="0.3">
      <c r="A2" s="3" t="s">
        <v>505</v>
      </c>
      <c r="D2">
        <v>2</v>
      </c>
      <c r="E2">
        <v>5127</v>
      </c>
      <c r="F2">
        <f>E2-E1</f>
        <v>2188</v>
      </c>
      <c r="G2">
        <v>52</v>
      </c>
      <c r="K2">
        <v>2</v>
      </c>
      <c r="M2" s="31">
        <f>L2-L1</f>
        <v>-3264</v>
      </c>
      <c r="N2" s="31">
        <v>52</v>
      </c>
      <c r="R2" s="31" t="s">
        <v>488</v>
      </c>
      <c r="S2" s="31">
        <v>7574</v>
      </c>
      <c r="T2" s="31">
        <v>-25874</v>
      </c>
      <c r="Z2" s="31" t="s">
        <v>496</v>
      </c>
      <c r="AA2" s="31">
        <v>59869</v>
      </c>
      <c r="AC2" s="31" t="s">
        <v>503</v>
      </c>
    </row>
    <row r="3" spans="1:29" ht="10.5" customHeight="1" x14ac:dyDescent="0.25">
      <c r="D3">
        <v>3</v>
      </c>
      <c r="E3">
        <v>7574</v>
      </c>
      <c r="F3">
        <f t="shared" ref="F3:F9" si="0">E3-E2</f>
        <v>2447</v>
      </c>
      <c r="G3">
        <v>53</v>
      </c>
      <c r="K3">
        <v>3</v>
      </c>
      <c r="L3" s="31">
        <v>9424</v>
      </c>
      <c r="M3" s="31">
        <f t="shared" ref="M3:M9" si="1">L3-L2</f>
        <v>9424</v>
      </c>
      <c r="N3" s="31">
        <v>53</v>
      </c>
      <c r="R3" s="31" t="s">
        <v>489</v>
      </c>
      <c r="S3" s="31">
        <v>14449</v>
      </c>
      <c r="Z3" s="31" t="s">
        <v>497</v>
      </c>
      <c r="AA3" s="31">
        <v>59869</v>
      </c>
    </row>
    <row r="4" spans="1:29" ht="10.5" customHeight="1" x14ac:dyDescent="0.25">
      <c r="B4" t="s">
        <v>506</v>
      </c>
      <c r="D4">
        <v>4</v>
      </c>
      <c r="E4">
        <v>9944</v>
      </c>
      <c r="F4">
        <f t="shared" si="0"/>
        <v>2370</v>
      </c>
      <c r="G4">
        <v>54</v>
      </c>
      <c r="K4">
        <v>4</v>
      </c>
      <c r="M4" s="31">
        <f t="shared" si="1"/>
        <v>-9424</v>
      </c>
      <c r="N4" s="31">
        <v>54</v>
      </c>
      <c r="R4" s="31" t="s">
        <v>490</v>
      </c>
      <c r="S4" s="31">
        <v>17739</v>
      </c>
      <c r="U4" s="12"/>
      <c r="Z4" s="31" t="s">
        <v>498</v>
      </c>
      <c r="AA4" s="31">
        <v>65414</v>
      </c>
      <c r="AB4" s="31">
        <f>AA4/3</f>
        <v>21804.666666666668</v>
      </c>
    </row>
    <row r="5" spans="1:29" ht="10.5" customHeight="1" x14ac:dyDescent="0.25">
      <c r="D5">
        <v>5</v>
      </c>
      <c r="E5">
        <v>12235</v>
      </c>
      <c r="F5">
        <f t="shared" si="0"/>
        <v>2291</v>
      </c>
      <c r="G5">
        <v>55</v>
      </c>
      <c r="K5">
        <v>5</v>
      </c>
      <c r="L5" s="31">
        <v>15090</v>
      </c>
      <c r="M5" s="31">
        <f t="shared" si="1"/>
        <v>15090</v>
      </c>
      <c r="N5" s="31">
        <v>55</v>
      </c>
      <c r="R5" s="31" t="s">
        <v>492</v>
      </c>
      <c r="S5" s="31">
        <v>5127</v>
      </c>
    </row>
    <row r="6" spans="1:29" ht="10.5" customHeight="1" x14ac:dyDescent="0.25">
      <c r="D6">
        <v>6</v>
      </c>
      <c r="E6">
        <v>14449</v>
      </c>
      <c r="F6">
        <f t="shared" si="0"/>
        <v>2214</v>
      </c>
      <c r="G6">
        <v>56</v>
      </c>
      <c r="K6">
        <v>6</v>
      </c>
      <c r="L6" s="31">
        <v>17739</v>
      </c>
      <c r="M6" s="31">
        <f t="shared" si="1"/>
        <v>2649</v>
      </c>
      <c r="N6" s="31">
        <v>56</v>
      </c>
      <c r="R6" s="31" t="s">
        <v>493</v>
      </c>
      <c r="S6" s="31">
        <v>3264</v>
      </c>
    </row>
    <row r="7" spans="1:29" ht="10.5" customHeight="1" x14ac:dyDescent="0.25">
      <c r="D7">
        <v>7</v>
      </c>
      <c r="F7">
        <f t="shared" si="0"/>
        <v>-14449</v>
      </c>
      <c r="G7">
        <v>57</v>
      </c>
      <c r="K7">
        <v>7</v>
      </c>
      <c r="L7" s="31">
        <v>21239</v>
      </c>
      <c r="M7" s="31">
        <f t="shared" si="1"/>
        <v>3500</v>
      </c>
      <c r="N7" s="31">
        <v>57</v>
      </c>
      <c r="R7" s="31" t="s">
        <v>494</v>
      </c>
      <c r="S7" s="31">
        <v>21239</v>
      </c>
    </row>
    <row r="8" spans="1:29" ht="10.5" customHeight="1" x14ac:dyDescent="0.25">
      <c r="D8">
        <v>8</v>
      </c>
      <c r="F8">
        <f t="shared" si="0"/>
        <v>0</v>
      </c>
      <c r="G8">
        <v>58</v>
      </c>
      <c r="K8">
        <v>8</v>
      </c>
      <c r="M8" s="31">
        <f t="shared" si="1"/>
        <v>-21239</v>
      </c>
      <c r="N8" s="31">
        <v>58</v>
      </c>
      <c r="R8" s="31" t="s">
        <v>495</v>
      </c>
      <c r="S8" s="31">
        <v>15090</v>
      </c>
    </row>
    <row r="9" spans="1:29" ht="10.5" customHeight="1" x14ac:dyDescent="0.25">
      <c r="D9">
        <v>9</v>
      </c>
      <c r="F9">
        <f t="shared" si="0"/>
        <v>0</v>
      </c>
      <c r="G9">
        <v>59</v>
      </c>
      <c r="K9">
        <v>9</v>
      </c>
      <c r="L9" s="31">
        <v>24945</v>
      </c>
      <c r="M9" s="31">
        <f t="shared" si="1"/>
        <v>24945</v>
      </c>
      <c r="N9" s="31">
        <v>59</v>
      </c>
    </row>
    <row r="10" spans="1:29" ht="10.5" customHeight="1" x14ac:dyDescent="0.25">
      <c r="D10">
        <v>10</v>
      </c>
      <c r="G10">
        <v>60</v>
      </c>
      <c r="K10">
        <v>10</v>
      </c>
      <c r="N10" s="31">
        <v>60</v>
      </c>
    </row>
    <row r="11" spans="1:29" ht="10.5" customHeight="1" x14ac:dyDescent="0.25">
      <c r="D11">
        <v>11</v>
      </c>
      <c r="G11">
        <v>61</v>
      </c>
      <c r="K11">
        <v>11</v>
      </c>
      <c r="N11" s="31">
        <v>61</v>
      </c>
    </row>
    <row r="12" spans="1:29" ht="10.5" customHeight="1" x14ac:dyDescent="0.25">
      <c r="D12">
        <v>12</v>
      </c>
      <c r="G12">
        <v>62</v>
      </c>
      <c r="K12">
        <v>12</v>
      </c>
      <c r="N12" s="31">
        <v>62</v>
      </c>
    </row>
    <row r="13" spans="1:29" ht="10.5" customHeight="1" x14ac:dyDescent="0.25">
      <c r="D13">
        <v>13</v>
      </c>
      <c r="E13">
        <v>28233</v>
      </c>
      <c r="F13">
        <f>E13/D13</f>
        <v>2171.7692307692309</v>
      </c>
      <c r="G13">
        <v>63</v>
      </c>
      <c r="K13">
        <v>13</v>
      </c>
      <c r="N13" s="31">
        <v>63</v>
      </c>
    </row>
    <row r="14" spans="1:29" ht="10.5" customHeight="1" x14ac:dyDescent="0.25">
      <c r="D14">
        <v>14</v>
      </c>
      <c r="G14">
        <v>64</v>
      </c>
      <c r="K14">
        <v>14</v>
      </c>
      <c r="N14" s="31">
        <v>64</v>
      </c>
    </row>
    <row r="15" spans="1:29" ht="10.5" customHeight="1" x14ac:dyDescent="0.25">
      <c r="D15">
        <v>15</v>
      </c>
      <c r="G15">
        <v>65</v>
      </c>
      <c r="K15">
        <v>15</v>
      </c>
      <c r="N15" s="31">
        <v>65</v>
      </c>
    </row>
    <row r="16" spans="1:29" ht="10.5" customHeight="1" x14ac:dyDescent="0.25">
      <c r="D16">
        <v>16</v>
      </c>
      <c r="G16">
        <v>66</v>
      </c>
      <c r="K16">
        <v>16</v>
      </c>
      <c r="N16" s="31">
        <v>66</v>
      </c>
    </row>
    <row r="17" spans="4:27" ht="10.5" customHeight="1" x14ac:dyDescent="0.25">
      <c r="D17">
        <v>17</v>
      </c>
      <c r="G17">
        <v>67</v>
      </c>
      <c r="K17">
        <v>17</v>
      </c>
      <c r="N17" s="31">
        <v>67</v>
      </c>
    </row>
    <row r="18" spans="4:27" ht="10.5" customHeight="1" x14ac:dyDescent="0.25">
      <c r="D18">
        <v>18</v>
      </c>
      <c r="G18">
        <v>68</v>
      </c>
      <c r="K18">
        <v>18</v>
      </c>
      <c r="N18" s="31">
        <v>68</v>
      </c>
    </row>
    <row r="19" spans="4:27" ht="10.5" customHeight="1" x14ac:dyDescent="0.25">
      <c r="D19">
        <v>19</v>
      </c>
      <c r="G19">
        <v>69</v>
      </c>
      <c r="K19">
        <v>19</v>
      </c>
      <c r="N19" s="31">
        <v>69</v>
      </c>
    </row>
    <row r="20" spans="4:27" ht="10.5" customHeight="1" x14ac:dyDescent="0.25">
      <c r="D20">
        <v>20</v>
      </c>
      <c r="G20">
        <v>70</v>
      </c>
      <c r="K20">
        <v>20</v>
      </c>
      <c r="N20" s="31">
        <v>70</v>
      </c>
      <c r="U20" s="31">
        <v>29</v>
      </c>
      <c r="V20" s="31">
        <v>60053</v>
      </c>
      <c r="W20" s="31" t="s">
        <v>501</v>
      </c>
    </row>
    <row r="21" spans="4:27" ht="10.5" customHeight="1" x14ac:dyDescent="0.25">
      <c r="D21">
        <v>21</v>
      </c>
      <c r="G21">
        <v>71</v>
      </c>
      <c r="K21">
        <v>21</v>
      </c>
      <c r="N21" s="31">
        <v>71</v>
      </c>
      <c r="T21" s="31" t="s">
        <v>503</v>
      </c>
      <c r="U21" s="31">
        <v>30</v>
      </c>
      <c r="V21" s="31">
        <v>61364</v>
      </c>
      <c r="W21" s="31" t="s">
        <v>502</v>
      </c>
    </row>
    <row r="22" spans="4:27" ht="10.5" customHeight="1" x14ac:dyDescent="0.25">
      <c r="D22">
        <v>22</v>
      </c>
      <c r="G22">
        <v>72</v>
      </c>
      <c r="K22">
        <v>22</v>
      </c>
      <c r="N22" s="31">
        <v>72</v>
      </c>
      <c r="U22" s="31">
        <v>31</v>
      </c>
      <c r="V22" s="31">
        <v>62066</v>
      </c>
      <c r="W22" s="31" t="s">
        <v>500</v>
      </c>
    </row>
    <row r="23" spans="4:27" ht="10.5" customHeight="1" x14ac:dyDescent="0.25">
      <c r="D23">
        <v>23</v>
      </c>
      <c r="G23">
        <v>73</v>
      </c>
      <c r="K23">
        <v>23</v>
      </c>
      <c r="N23" s="31">
        <v>73</v>
      </c>
      <c r="U23" s="31">
        <v>31</v>
      </c>
      <c r="V23" s="31">
        <v>60799</v>
      </c>
      <c r="W23" s="31" t="s">
        <v>499</v>
      </c>
    </row>
    <row r="24" spans="4:27" ht="10.5" customHeight="1" x14ac:dyDescent="0.25">
      <c r="D24">
        <v>24</v>
      </c>
      <c r="G24">
        <v>74</v>
      </c>
      <c r="K24">
        <v>24</v>
      </c>
      <c r="N24" s="31">
        <v>74</v>
      </c>
      <c r="U24" s="31">
        <v>32</v>
      </c>
      <c r="V24" s="31">
        <v>61364</v>
      </c>
      <c r="W24" s="31" t="s">
        <v>502</v>
      </c>
    </row>
    <row r="25" spans="4:27" ht="10.5" customHeight="1" x14ac:dyDescent="0.25">
      <c r="D25">
        <v>25</v>
      </c>
      <c r="G25">
        <v>75</v>
      </c>
      <c r="K25">
        <v>25</v>
      </c>
      <c r="N25" s="31">
        <v>75</v>
      </c>
    </row>
    <row r="26" spans="4:27" ht="10.5" customHeight="1" x14ac:dyDescent="0.25">
      <c r="D26">
        <v>26</v>
      </c>
      <c r="G26">
        <v>76</v>
      </c>
      <c r="K26">
        <v>26</v>
      </c>
      <c r="N26" s="31">
        <v>76</v>
      </c>
      <c r="Z26" s="31">
        <v>8</v>
      </c>
      <c r="AA26" s="31">
        <v>39</v>
      </c>
    </row>
    <row r="27" spans="4:27" ht="10.5" customHeight="1" x14ac:dyDescent="0.25">
      <c r="D27">
        <v>27</v>
      </c>
      <c r="G27">
        <v>77</v>
      </c>
      <c r="K27">
        <v>27</v>
      </c>
      <c r="L27" s="31">
        <v>59869</v>
      </c>
      <c r="M27" s="31">
        <f>L27/27</f>
        <v>2217.3703703703704</v>
      </c>
      <c r="N27" s="31">
        <v>77</v>
      </c>
      <c r="S27" s="31">
        <v>2</v>
      </c>
      <c r="T27" s="31">
        <v>6</v>
      </c>
      <c r="U27" s="31">
        <v>31</v>
      </c>
      <c r="V27" s="31">
        <v>61400</v>
      </c>
      <c r="W27" s="31" t="s">
        <v>499</v>
      </c>
      <c r="AA27" s="31">
        <v>43</v>
      </c>
    </row>
    <row r="28" spans="4:27" ht="10.5" customHeight="1" x14ac:dyDescent="0.25">
      <c r="D28">
        <v>28</v>
      </c>
      <c r="G28">
        <v>78</v>
      </c>
      <c r="K28">
        <v>28</v>
      </c>
      <c r="N28" s="31">
        <v>78</v>
      </c>
      <c r="S28" s="31">
        <v>3</v>
      </c>
      <c r="T28" s="31">
        <v>7</v>
      </c>
      <c r="U28" s="31">
        <v>31</v>
      </c>
      <c r="V28" s="31">
        <v>61542</v>
      </c>
      <c r="W28" s="31" t="s">
        <v>499</v>
      </c>
      <c r="AA28" s="31">
        <v>48</v>
      </c>
    </row>
    <row r="29" spans="4:27" ht="10.5" customHeight="1" x14ac:dyDescent="0.25">
      <c r="D29">
        <v>29</v>
      </c>
      <c r="G29">
        <v>79</v>
      </c>
      <c r="K29">
        <v>29</v>
      </c>
      <c r="N29" s="31">
        <v>79</v>
      </c>
      <c r="S29" s="31">
        <v>2</v>
      </c>
      <c r="T29" s="31">
        <v>5</v>
      </c>
      <c r="U29" s="31">
        <v>31</v>
      </c>
      <c r="V29" s="31">
        <v>60799</v>
      </c>
      <c r="AA29" s="31">
        <v>53</v>
      </c>
    </row>
    <row r="30" spans="4:27" ht="10.5" customHeight="1" x14ac:dyDescent="0.25">
      <c r="D30">
        <v>30</v>
      </c>
      <c r="G30">
        <v>80</v>
      </c>
      <c r="K30">
        <v>30</v>
      </c>
      <c r="N30" s="31">
        <v>80</v>
      </c>
      <c r="AA30" s="31">
        <v>65</v>
      </c>
    </row>
    <row r="31" spans="4:27" ht="10.5" customHeight="1" x14ac:dyDescent="0.25">
      <c r="D31">
        <v>31</v>
      </c>
      <c r="G31">
        <v>81</v>
      </c>
      <c r="K31">
        <v>31</v>
      </c>
      <c r="L31" s="31">
        <v>62066</v>
      </c>
      <c r="N31" s="31">
        <v>81</v>
      </c>
      <c r="O31" s="31">
        <v>90519</v>
      </c>
      <c r="P31" s="31">
        <f>O31/N31</f>
        <v>1117.5185185185185</v>
      </c>
      <c r="AA31" s="31">
        <v>69</v>
      </c>
    </row>
    <row r="32" spans="4:27" ht="10.5" customHeight="1" x14ac:dyDescent="0.25">
      <c r="D32">
        <v>32</v>
      </c>
      <c r="G32">
        <v>82</v>
      </c>
      <c r="K32">
        <v>32</v>
      </c>
      <c r="L32" s="31">
        <v>68109</v>
      </c>
      <c r="N32" s="31">
        <v>82</v>
      </c>
    </row>
    <row r="33" spans="4:15" ht="10.5" customHeight="1" x14ac:dyDescent="0.25">
      <c r="D33">
        <v>33</v>
      </c>
      <c r="G33">
        <v>83</v>
      </c>
      <c r="K33">
        <v>33</v>
      </c>
      <c r="N33" s="31">
        <v>83</v>
      </c>
    </row>
    <row r="34" spans="4:15" ht="10.5" customHeight="1" x14ac:dyDescent="0.25">
      <c r="D34">
        <v>34</v>
      </c>
      <c r="G34">
        <v>84</v>
      </c>
      <c r="K34">
        <v>34</v>
      </c>
      <c r="N34" s="31">
        <v>84</v>
      </c>
    </row>
    <row r="35" spans="4:15" ht="10.5" customHeight="1" x14ac:dyDescent="0.25">
      <c r="D35">
        <v>35</v>
      </c>
      <c r="G35">
        <v>85</v>
      </c>
      <c r="K35">
        <v>35</v>
      </c>
      <c r="L35" s="31">
        <v>61364</v>
      </c>
      <c r="N35" s="31">
        <v>85</v>
      </c>
    </row>
    <row r="36" spans="4:15" ht="10.5" customHeight="1" x14ac:dyDescent="0.25">
      <c r="D36">
        <v>36</v>
      </c>
      <c r="G36">
        <v>86</v>
      </c>
      <c r="K36">
        <v>36</v>
      </c>
      <c r="N36" s="31">
        <v>86</v>
      </c>
    </row>
    <row r="37" spans="4:15" ht="10.5" customHeight="1" x14ac:dyDescent="0.25">
      <c r="D37">
        <v>37</v>
      </c>
      <c r="G37">
        <v>87</v>
      </c>
      <c r="K37">
        <v>37</v>
      </c>
      <c r="N37" s="31">
        <v>87</v>
      </c>
    </row>
    <row r="38" spans="4:15" ht="10.5" customHeight="1" x14ac:dyDescent="0.25">
      <c r="D38">
        <v>38</v>
      </c>
      <c r="G38">
        <v>88</v>
      </c>
      <c r="K38">
        <v>38</v>
      </c>
      <c r="N38" s="31">
        <v>88</v>
      </c>
    </row>
    <row r="39" spans="4:15" ht="10.5" customHeight="1" x14ac:dyDescent="0.25">
      <c r="D39">
        <v>39</v>
      </c>
      <c r="G39">
        <v>89</v>
      </c>
      <c r="K39">
        <v>39</v>
      </c>
      <c r="N39" s="31">
        <v>89</v>
      </c>
    </row>
    <row r="40" spans="4:15" ht="10.5" customHeight="1" x14ac:dyDescent="0.25">
      <c r="D40">
        <v>40</v>
      </c>
      <c r="G40">
        <v>90</v>
      </c>
      <c r="K40">
        <v>40</v>
      </c>
      <c r="N40" s="31">
        <v>90</v>
      </c>
    </row>
    <row r="41" spans="4:15" ht="10.5" customHeight="1" x14ac:dyDescent="0.25">
      <c r="D41">
        <v>41</v>
      </c>
      <c r="G41">
        <v>91</v>
      </c>
      <c r="K41">
        <v>41</v>
      </c>
      <c r="N41" s="31">
        <v>91</v>
      </c>
    </row>
    <row r="42" spans="4:15" ht="10.5" customHeight="1" x14ac:dyDescent="0.25">
      <c r="D42">
        <v>42</v>
      </c>
      <c r="G42">
        <v>92</v>
      </c>
      <c r="K42">
        <v>42</v>
      </c>
      <c r="N42" s="31">
        <v>92</v>
      </c>
    </row>
    <row r="43" spans="4:15" ht="10.5" customHeight="1" x14ac:dyDescent="0.25">
      <c r="D43">
        <v>43</v>
      </c>
      <c r="G43">
        <v>93</v>
      </c>
      <c r="K43">
        <v>43</v>
      </c>
      <c r="N43" s="31">
        <v>93</v>
      </c>
    </row>
    <row r="44" spans="4:15" ht="10.5" customHeight="1" x14ac:dyDescent="0.25">
      <c r="D44">
        <v>44</v>
      </c>
      <c r="G44">
        <v>94</v>
      </c>
      <c r="K44">
        <v>44</v>
      </c>
      <c r="N44" s="31">
        <v>94</v>
      </c>
      <c r="O44" s="31">
        <v>87740</v>
      </c>
    </row>
    <row r="45" spans="4:15" ht="10.5" customHeight="1" x14ac:dyDescent="0.25">
      <c r="D45">
        <v>45</v>
      </c>
      <c r="G45">
        <v>95</v>
      </c>
      <c r="K45">
        <v>45</v>
      </c>
      <c r="N45" s="31">
        <v>95</v>
      </c>
    </row>
    <row r="46" spans="4:15" ht="10.5" customHeight="1" x14ac:dyDescent="0.25">
      <c r="D46">
        <v>46</v>
      </c>
      <c r="G46">
        <v>96</v>
      </c>
      <c r="K46">
        <v>46</v>
      </c>
      <c r="N46" s="31">
        <v>96</v>
      </c>
    </row>
    <row r="47" spans="4:15" ht="10.5" customHeight="1" x14ac:dyDescent="0.25">
      <c r="D47">
        <v>47</v>
      </c>
      <c r="G47">
        <v>97</v>
      </c>
      <c r="K47">
        <v>47</v>
      </c>
      <c r="N47" s="31">
        <v>97</v>
      </c>
    </row>
    <row r="48" spans="4:15" ht="10.5" customHeight="1" x14ac:dyDescent="0.25">
      <c r="D48">
        <v>48</v>
      </c>
      <c r="G48">
        <v>98</v>
      </c>
      <c r="K48">
        <v>48</v>
      </c>
      <c r="N48" s="31">
        <v>98</v>
      </c>
    </row>
    <row r="49" spans="4:14" ht="10.5" customHeight="1" x14ac:dyDescent="0.25">
      <c r="D49">
        <v>49</v>
      </c>
      <c r="G49">
        <v>99</v>
      </c>
      <c r="K49">
        <v>49</v>
      </c>
      <c r="N49" s="31">
        <v>99</v>
      </c>
    </row>
    <row r="50" spans="4:14" ht="10.5" customHeight="1" x14ac:dyDescent="0.25">
      <c r="D50">
        <v>50</v>
      </c>
      <c r="G50">
        <v>100</v>
      </c>
      <c r="K50">
        <v>50</v>
      </c>
      <c r="N50" s="3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AU200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14" sqref="K14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20" customWidth="1"/>
    <col min="18" max="18" width="9.28515625" style="21" customWidth="1"/>
    <col min="19" max="19" width="9.28515625" style="22" customWidth="1"/>
    <col min="20" max="20" width="9.28515625" style="29" customWidth="1"/>
    <col min="21" max="21" width="9.28515625" style="42" customWidth="1"/>
    <col min="22" max="22" width="9.28515625" style="24" customWidth="1"/>
    <col min="23" max="23" width="9.28515625" style="25" customWidth="1"/>
    <col min="24" max="24" width="9.28515625" style="26" customWidth="1"/>
    <col min="25" max="25" width="9.140625" style="28"/>
    <col min="26" max="26" width="9.140625" style="30"/>
    <col min="27" max="27" width="9.140625" style="28"/>
    <col min="28" max="28" width="9.140625" style="25"/>
    <col min="29" max="47" width="9.140625" style="28"/>
    <col min="48" max="16384" width="9.140625" style="1"/>
  </cols>
  <sheetData>
    <row r="2" spans="2:29" x14ac:dyDescent="0.25">
      <c r="T2" s="41" t="s">
        <v>472</v>
      </c>
      <c r="Y2" s="23" t="s">
        <v>472</v>
      </c>
      <c r="Z2" s="27" t="s">
        <v>473</v>
      </c>
    </row>
    <row r="3" spans="2:29" x14ac:dyDescent="0.25">
      <c r="R3" s="40" t="s">
        <v>527</v>
      </c>
      <c r="S3" s="43" t="s">
        <v>527</v>
      </c>
      <c r="T3" s="8" t="s">
        <v>527</v>
      </c>
      <c r="U3" s="44" t="s">
        <v>527</v>
      </c>
      <c r="V3" s="43" t="s">
        <v>527</v>
      </c>
      <c r="W3" s="45" t="s">
        <v>527</v>
      </c>
      <c r="X3" s="44" t="s">
        <v>527</v>
      </c>
      <c r="Y3" s="10" t="s">
        <v>104</v>
      </c>
      <c r="Z3" s="9" t="s">
        <v>733</v>
      </c>
    </row>
    <row r="4" spans="2:29" x14ac:dyDescent="0.25">
      <c r="B4" s="1" t="s">
        <v>175</v>
      </c>
      <c r="C4" s="1" t="s">
        <v>174</v>
      </c>
      <c r="D4" s="2" t="s">
        <v>176</v>
      </c>
      <c r="E4" s="1" t="s">
        <v>177</v>
      </c>
      <c r="F4" s="2" t="s">
        <v>178</v>
      </c>
      <c r="G4" s="2" t="s">
        <v>179</v>
      </c>
      <c r="H4" s="2" t="s">
        <v>180</v>
      </c>
      <c r="I4" s="2" t="s">
        <v>181</v>
      </c>
      <c r="J4" s="7" t="s">
        <v>324</v>
      </c>
      <c r="K4" s="7" t="s">
        <v>482</v>
      </c>
      <c r="L4" s="20" t="s">
        <v>479</v>
      </c>
      <c r="M4" s="20" t="s">
        <v>480</v>
      </c>
      <c r="N4" s="20" t="s">
        <v>481</v>
      </c>
      <c r="O4" s="20" t="s">
        <v>411</v>
      </c>
      <c r="P4" s="20" t="s">
        <v>483</v>
      </c>
      <c r="Q4" s="20" t="s">
        <v>519</v>
      </c>
      <c r="R4" s="21" t="s">
        <v>182</v>
      </c>
      <c r="S4" s="22" t="s">
        <v>621</v>
      </c>
      <c r="T4" s="29" t="s">
        <v>622</v>
      </c>
      <c r="U4" s="42" t="s">
        <v>167</v>
      </c>
      <c r="V4" s="24" t="s">
        <v>21</v>
      </c>
      <c r="W4" s="25" t="s">
        <v>22</v>
      </c>
      <c r="X4" s="26" t="s">
        <v>23</v>
      </c>
    </row>
    <row r="5" spans="2:29" x14ac:dyDescent="0.25">
      <c r="B5" s="1" t="s">
        <v>215</v>
      </c>
      <c r="C5" s="1" t="s">
        <v>167</v>
      </c>
      <c r="D5" s="2">
        <v>6</v>
      </c>
      <c r="E5" s="2" t="s">
        <v>59</v>
      </c>
      <c r="F5" s="2">
        <v>4</v>
      </c>
      <c r="G5" s="2">
        <v>2</v>
      </c>
      <c r="H5" s="2">
        <v>6</v>
      </c>
      <c r="I5" s="2">
        <v>0</v>
      </c>
      <c r="J5" s="7">
        <f>(G5+H5+I5)/F5</f>
        <v>2</v>
      </c>
      <c r="K5" s="7">
        <f>G5/F5</f>
        <v>0.5</v>
      </c>
      <c r="L5" s="20">
        <f>H5/F5</f>
        <v>1.5</v>
      </c>
      <c r="M5" s="20">
        <f>I5/F5</f>
        <v>0</v>
      </c>
      <c r="N5" s="20">
        <f>(G5+I5)/F5</f>
        <v>0.5</v>
      </c>
      <c r="O5" s="20">
        <f>G5+I5</f>
        <v>2</v>
      </c>
      <c r="P5" s="20">
        <f>O5/D5</f>
        <v>0.33333333333333331</v>
      </c>
      <c r="Q5" s="20">
        <f>K5+L5</f>
        <v>2</v>
      </c>
      <c r="R5" s="21" t="s">
        <v>7</v>
      </c>
      <c r="U5" s="42" t="s">
        <v>122</v>
      </c>
      <c r="Y5" s="31"/>
      <c r="AB5" s="25" t="s">
        <v>580</v>
      </c>
      <c r="AC5" s="28" t="s">
        <v>581</v>
      </c>
    </row>
    <row r="6" spans="2:29" x14ac:dyDescent="0.25">
      <c r="Y6" s="31"/>
    </row>
    <row r="7" spans="2:29" x14ac:dyDescent="0.25">
      <c r="Y7" s="31"/>
    </row>
    <row r="8" spans="2:29" x14ac:dyDescent="0.25">
      <c r="E8" s="1"/>
      <c r="Y8" s="31"/>
    </row>
    <row r="9" spans="2:29" x14ac:dyDescent="0.25">
      <c r="Y9" s="31"/>
    </row>
    <row r="10" spans="2:29" x14ac:dyDescent="0.25">
      <c r="V10" s="49"/>
      <c r="Y10" s="31"/>
    </row>
    <row r="11" spans="2:29" x14ac:dyDescent="0.25">
      <c r="Y11" s="31"/>
    </row>
    <row r="12" spans="2:29" x14ac:dyDescent="0.25">
      <c r="Y12" s="31"/>
    </row>
    <row r="13" spans="2:29" x14ac:dyDescent="0.25">
      <c r="Y13" s="31"/>
    </row>
    <row r="14" spans="2:29" x14ac:dyDescent="0.25">
      <c r="E14" s="1"/>
      <c r="Y14" s="31"/>
    </row>
    <row r="15" spans="2:29" x14ac:dyDescent="0.25">
      <c r="Y15" s="31"/>
    </row>
    <row r="16" spans="2:29" x14ac:dyDescent="0.25">
      <c r="Y16" s="31"/>
    </row>
    <row r="17" spans="5:27" x14ac:dyDescent="0.25">
      <c r="Y17" s="31"/>
    </row>
    <row r="18" spans="5:27" x14ac:dyDescent="0.25">
      <c r="Y18" s="31"/>
    </row>
    <row r="19" spans="5:27" x14ac:dyDescent="0.25">
      <c r="Y19" s="31"/>
    </row>
    <row r="20" spans="5:27" x14ac:dyDescent="0.25">
      <c r="Y20" s="31"/>
    </row>
    <row r="21" spans="5:27" x14ac:dyDescent="0.25">
      <c r="Y21" s="31"/>
    </row>
    <row r="22" spans="5:27" x14ac:dyDescent="0.25">
      <c r="Y22" s="31"/>
    </row>
    <row r="23" spans="5:27" x14ac:dyDescent="0.25">
      <c r="V23" s="26"/>
      <c r="W23" s="24"/>
      <c r="Y23" s="31"/>
    </row>
    <row r="24" spans="5:27" x14ac:dyDescent="0.25">
      <c r="Y24" s="31"/>
    </row>
    <row r="25" spans="5:27" x14ac:dyDescent="0.25">
      <c r="Y25" s="31"/>
    </row>
    <row r="26" spans="5:27" x14ac:dyDescent="0.25">
      <c r="Y26" s="31"/>
      <c r="AA26" s="30"/>
    </row>
    <row r="27" spans="5:27" x14ac:dyDescent="0.25">
      <c r="Y27" s="31"/>
    </row>
    <row r="28" spans="5:27" x14ac:dyDescent="0.25">
      <c r="Y28" s="31"/>
    </row>
    <row r="29" spans="5:27" x14ac:dyDescent="0.25">
      <c r="E29" s="1"/>
      <c r="Y29" s="31"/>
    </row>
    <row r="30" spans="5:27" x14ac:dyDescent="0.25">
      <c r="Y30" s="31"/>
    </row>
    <row r="31" spans="5:27" x14ac:dyDescent="0.25">
      <c r="V31" s="49"/>
      <c r="Y31" s="31"/>
    </row>
    <row r="32" spans="5:27" x14ac:dyDescent="0.25">
      <c r="Y32" s="31"/>
    </row>
    <row r="33" spans="5:27" x14ac:dyDescent="0.25">
      <c r="Y33" s="31"/>
    </row>
    <row r="34" spans="5:27" x14ac:dyDescent="0.25">
      <c r="Y34" s="31"/>
    </row>
    <row r="35" spans="5:27" x14ac:dyDescent="0.25">
      <c r="E35" s="1"/>
      <c r="Y35" s="31"/>
    </row>
    <row r="36" spans="5:27" x14ac:dyDescent="0.25">
      <c r="Y36" s="31"/>
    </row>
    <row r="37" spans="5:27" x14ac:dyDescent="0.25">
      <c r="Y37" s="31"/>
    </row>
    <row r="38" spans="5:27" x14ac:dyDescent="0.25">
      <c r="Y38" s="31"/>
    </row>
    <row r="39" spans="5:27" x14ac:dyDescent="0.25">
      <c r="Y39" s="31"/>
    </row>
    <row r="40" spans="5:27" x14ac:dyDescent="0.25">
      <c r="Y40" s="31"/>
    </row>
    <row r="41" spans="5:27" x14ac:dyDescent="0.25">
      <c r="Y41" s="31"/>
    </row>
    <row r="42" spans="5:27" x14ac:dyDescent="0.25">
      <c r="Y42" s="31"/>
    </row>
    <row r="43" spans="5:27" x14ac:dyDescent="0.25">
      <c r="Y43" s="31"/>
    </row>
    <row r="44" spans="5:27" x14ac:dyDescent="0.25">
      <c r="V44" s="26"/>
      <c r="W44" s="24"/>
      <c r="Y44" s="31"/>
    </row>
    <row r="45" spans="5:27" x14ac:dyDescent="0.25">
      <c r="Y45" s="31"/>
    </row>
    <row r="46" spans="5:27" x14ac:dyDescent="0.25">
      <c r="Y46" s="31"/>
    </row>
    <row r="47" spans="5:27" x14ac:dyDescent="0.25">
      <c r="Y47" s="31"/>
      <c r="AA47" s="30"/>
    </row>
    <row r="48" spans="5:27" x14ac:dyDescent="0.25">
      <c r="Y48" s="31"/>
    </row>
    <row r="49" spans="5:25" x14ac:dyDescent="0.25">
      <c r="Y49" s="31"/>
    </row>
    <row r="50" spans="5:25" x14ac:dyDescent="0.25">
      <c r="E50" s="1"/>
      <c r="Y50" s="31"/>
    </row>
    <row r="51" spans="5:25" x14ac:dyDescent="0.25">
      <c r="Y51" s="31"/>
    </row>
    <row r="52" spans="5:25" x14ac:dyDescent="0.25">
      <c r="V52" s="49"/>
      <c r="Y52" s="31"/>
    </row>
    <row r="53" spans="5:25" x14ac:dyDescent="0.25">
      <c r="Y53" s="31"/>
    </row>
    <row r="54" spans="5:25" x14ac:dyDescent="0.25">
      <c r="Y54" s="31"/>
    </row>
    <row r="55" spans="5:25" x14ac:dyDescent="0.25">
      <c r="Y55" s="31"/>
    </row>
    <row r="56" spans="5:25" x14ac:dyDescent="0.25">
      <c r="E56" s="1"/>
      <c r="Y56" s="31"/>
    </row>
    <row r="57" spans="5:25" x14ac:dyDescent="0.25">
      <c r="Y57" s="31"/>
    </row>
    <row r="58" spans="5:25" x14ac:dyDescent="0.25">
      <c r="Y58" s="31"/>
    </row>
    <row r="59" spans="5:25" x14ac:dyDescent="0.25">
      <c r="Y59" s="31"/>
    </row>
    <row r="60" spans="5:25" x14ac:dyDescent="0.25">
      <c r="Y60" s="31"/>
    </row>
    <row r="61" spans="5:25" x14ac:dyDescent="0.25">
      <c r="Y61" s="31"/>
    </row>
    <row r="62" spans="5:25" x14ac:dyDescent="0.25">
      <c r="Y62" s="31"/>
    </row>
    <row r="63" spans="5:25" x14ac:dyDescent="0.25">
      <c r="Y63" s="31"/>
    </row>
    <row r="64" spans="5:25" x14ac:dyDescent="0.25">
      <c r="Y64" s="31"/>
    </row>
    <row r="65" spans="5:27" x14ac:dyDescent="0.25">
      <c r="V65" s="26"/>
      <c r="W65" s="24"/>
      <c r="Y65" s="31"/>
    </row>
    <row r="66" spans="5:27" x14ac:dyDescent="0.25">
      <c r="Y66" s="31"/>
    </row>
    <row r="67" spans="5:27" x14ac:dyDescent="0.25">
      <c r="Y67" s="31"/>
    </row>
    <row r="68" spans="5:27" x14ac:dyDescent="0.25">
      <c r="Y68" s="31"/>
      <c r="AA68" s="30"/>
    </row>
    <row r="69" spans="5:27" x14ac:dyDescent="0.25">
      <c r="Y69" s="31"/>
    </row>
    <row r="70" spans="5:27" x14ac:dyDescent="0.25">
      <c r="Y70" s="31"/>
    </row>
    <row r="71" spans="5:27" x14ac:dyDescent="0.25">
      <c r="E71" s="1"/>
      <c r="Y71" s="31"/>
    </row>
    <row r="72" spans="5:27" x14ac:dyDescent="0.25">
      <c r="Y72" s="31"/>
    </row>
    <row r="73" spans="5:27" x14ac:dyDescent="0.25">
      <c r="V73" s="49"/>
      <c r="Y73" s="31"/>
    </row>
    <row r="74" spans="5:27" x14ac:dyDescent="0.25">
      <c r="Y74" s="31"/>
    </row>
    <row r="75" spans="5:27" x14ac:dyDescent="0.25">
      <c r="Y75" s="31"/>
    </row>
    <row r="76" spans="5:27" x14ac:dyDescent="0.25">
      <c r="Y76" s="31"/>
    </row>
    <row r="77" spans="5:27" x14ac:dyDescent="0.25">
      <c r="E77" s="1"/>
      <c r="Y77" s="31"/>
    </row>
    <row r="78" spans="5:27" x14ac:dyDescent="0.25">
      <c r="Y78" s="31"/>
    </row>
    <row r="79" spans="5:27" x14ac:dyDescent="0.25">
      <c r="Y79" s="31"/>
    </row>
    <row r="80" spans="5:27" x14ac:dyDescent="0.25">
      <c r="Y80" s="31"/>
    </row>
    <row r="81" spans="5:27" x14ac:dyDescent="0.25">
      <c r="Y81" s="31"/>
    </row>
    <row r="82" spans="5:27" x14ac:dyDescent="0.25">
      <c r="Y82" s="31"/>
    </row>
    <row r="83" spans="5:27" x14ac:dyDescent="0.25">
      <c r="Y83" s="31"/>
    </row>
    <row r="84" spans="5:27" x14ac:dyDescent="0.25">
      <c r="Y84" s="31"/>
    </row>
    <row r="85" spans="5:27" x14ac:dyDescent="0.25">
      <c r="Y85" s="31"/>
    </row>
    <row r="86" spans="5:27" x14ac:dyDescent="0.25">
      <c r="V86" s="26"/>
      <c r="W86" s="24"/>
      <c r="Y86" s="31"/>
    </row>
    <row r="87" spans="5:27" x14ac:dyDescent="0.25">
      <c r="Y87" s="31"/>
    </row>
    <row r="88" spans="5:27" x14ac:dyDescent="0.25">
      <c r="Y88" s="31"/>
    </row>
    <row r="89" spans="5:27" x14ac:dyDescent="0.25">
      <c r="Y89" s="31"/>
      <c r="AA89" s="30"/>
    </row>
    <row r="90" spans="5:27" x14ac:dyDescent="0.25">
      <c r="Y90" s="31"/>
    </row>
    <row r="91" spans="5:27" x14ac:dyDescent="0.25">
      <c r="Y91" s="31"/>
    </row>
    <row r="92" spans="5:27" x14ac:dyDescent="0.25">
      <c r="E92" s="1"/>
      <c r="Y92" s="31"/>
    </row>
    <row r="93" spans="5:27" x14ac:dyDescent="0.25">
      <c r="Y93" s="31"/>
    </row>
    <row r="94" spans="5:27" x14ac:dyDescent="0.25">
      <c r="V94" s="49"/>
      <c r="Y94" s="31"/>
    </row>
    <row r="95" spans="5:27" x14ac:dyDescent="0.25">
      <c r="Y95" s="31"/>
    </row>
    <row r="96" spans="5:27" x14ac:dyDescent="0.25">
      <c r="Y96" s="31"/>
    </row>
    <row r="97" spans="5:27" x14ac:dyDescent="0.25">
      <c r="Y97" s="31"/>
    </row>
    <row r="98" spans="5:27" x14ac:dyDescent="0.25">
      <c r="E98" s="1"/>
      <c r="Y98" s="31"/>
    </row>
    <row r="99" spans="5:27" x14ac:dyDescent="0.25">
      <c r="Y99" s="31"/>
    </row>
    <row r="100" spans="5:27" x14ac:dyDescent="0.25">
      <c r="Y100" s="31"/>
    </row>
    <row r="101" spans="5:27" x14ac:dyDescent="0.25">
      <c r="Y101" s="31"/>
    </row>
    <row r="102" spans="5:27" x14ac:dyDescent="0.25">
      <c r="Y102" s="31"/>
    </row>
    <row r="103" spans="5:27" x14ac:dyDescent="0.25">
      <c r="Y103" s="31"/>
    </row>
    <row r="104" spans="5:27" x14ac:dyDescent="0.25">
      <c r="Y104" s="31"/>
    </row>
    <row r="105" spans="5:27" x14ac:dyDescent="0.25">
      <c r="Y105" s="31"/>
    </row>
    <row r="106" spans="5:27" x14ac:dyDescent="0.25">
      <c r="Y106" s="31"/>
    </row>
    <row r="107" spans="5:27" x14ac:dyDescent="0.25">
      <c r="V107" s="26"/>
      <c r="W107" s="24"/>
      <c r="Y107" s="31"/>
    </row>
    <row r="108" spans="5:27" x14ac:dyDescent="0.25">
      <c r="Y108" s="31"/>
    </row>
    <row r="109" spans="5:27" x14ac:dyDescent="0.25">
      <c r="Y109" s="31"/>
    </row>
    <row r="110" spans="5:27" x14ac:dyDescent="0.25">
      <c r="Y110" s="31"/>
      <c r="AA110" s="30"/>
    </row>
    <row r="111" spans="5:27" x14ac:dyDescent="0.25">
      <c r="Y111" s="31"/>
    </row>
    <row r="112" spans="5:27" x14ac:dyDescent="0.25">
      <c r="Y112" s="31"/>
    </row>
    <row r="113" spans="5:25" x14ac:dyDescent="0.25">
      <c r="E113" s="1"/>
      <c r="Y113" s="31"/>
    </row>
    <row r="114" spans="5:25" x14ac:dyDescent="0.25">
      <c r="Y114" s="31"/>
    </row>
    <row r="115" spans="5:25" x14ac:dyDescent="0.25">
      <c r="V115" s="49"/>
      <c r="Y115" s="31"/>
    </row>
    <row r="116" spans="5:25" x14ac:dyDescent="0.25">
      <c r="Y116" s="31"/>
    </row>
    <row r="117" spans="5:25" x14ac:dyDescent="0.25">
      <c r="Y117" s="31"/>
    </row>
    <row r="118" spans="5:25" x14ac:dyDescent="0.25">
      <c r="Y118" s="31"/>
    </row>
    <row r="119" spans="5:25" x14ac:dyDescent="0.25">
      <c r="E119" s="1"/>
      <c r="Y119" s="31"/>
    </row>
    <row r="120" spans="5:25" x14ac:dyDescent="0.25">
      <c r="Y120" s="31"/>
    </row>
    <row r="121" spans="5:25" x14ac:dyDescent="0.25">
      <c r="Y121" s="31"/>
    </row>
    <row r="122" spans="5:25" x14ac:dyDescent="0.25">
      <c r="Y122" s="31"/>
    </row>
    <row r="123" spans="5:25" x14ac:dyDescent="0.25">
      <c r="Y123" s="31"/>
    </row>
    <row r="124" spans="5:25" x14ac:dyDescent="0.25">
      <c r="Y124" s="31"/>
    </row>
    <row r="125" spans="5:25" x14ac:dyDescent="0.25">
      <c r="Y125" s="31"/>
    </row>
    <row r="126" spans="5:25" x14ac:dyDescent="0.25">
      <c r="Y126" s="31"/>
    </row>
    <row r="127" spans="5:25" x14ac:dyDescent="0.25">
      <c r="Y127" s="31"/>
    </row>
    <row r="128" spans="5:25" x14ac:dyDescent="0.25">
      <c r="V128" s="26"/>
      <c r="W128" s="24"/>
      <c r="Y128" s="31"/>
    </row>
    <row r="129" spans="5:27" x14ac:dyDescent="0.25">
      <c r="Y129" s="31"/>
    </row>
    <row r="130" spans="5:27" x14ac:dyDescent="0.25">
      <c r="Y130" s="31"/>
    </row>
    <row r="131" spans="5:27" x14ac:dyDescent="0.25">
      <c r="Y131" s="31"/>
      <c r="AA131" s="30"/>
    </row>
    <row r="132" spans="5:27" x14ac:dyDescent="0.25">
      <c r="Y132" s="31"/>
    </row>
    <row r="133" spans="5:27" x14ac:dyDescent="0.25">
      <c r="Y133" s="31"/>
    </row>
    <row r="134" spans="5:27" x14ac:dyDescent="0.25">
      <c r="E134" s="1"/>
      <c r="Y134" s="31"/>
    </row>
    <row r="135" spans="5:27" x14ac:dyDescent="0.25">
      <c r="Y135" s="31"/>
    </row>
    <row r="136" spans="5:27" x14ac:dyDescent="0.25">
      <c r="V136" s="49"/>
      <c r="Y136" s="31"/>
    </row>
    <row r="137" spans="5:27" x14ac:dyDescent="0.25">
      <c r="Y137" s="31"/>
    </row>
    <row r="138" spans="5:27" x14ac:dyDescent="0.25">
      <c r="Y138" s="31"/>
    </row>
    <row r="139" spans="5:27" x14ac:dyDescent="0.25">
      <c r="Y139" s="31"/>
    </row>
    <row r="140" spans="5:27" x14ac:dyDescent="0.25">
      <c r="E140" s="1"/>
      <c r="Y140" s="31"/>
    </row>
    <row r="141" spans="5:27" x14ac:dyDescent="0.25">
      <c r="Y141" s="31"/>
    </row>
    <row r="142" spans="5:27" x14ac:dyDescent="0.25">
      <c r="Y142" s="31"/>
    </row>
    <row r="143" spans="5:27" x14ac:dyDescent="0.25">
      <c r="Y143" s="31"/>
    </row>
    <row r="144" spans="5:27" x14ac:dyDescent="0.25">
      <c r="Y144" s="31"/>
    </row>
    <row r="145" spans="5:27" x14ac:dyDescent="0.25">
      <c r="Y145" s="31"/>
    </row>
    <row r="146" spans="5:27" x14ac:dyDescent="0.25">
      <c r="Y146" s="31"/>
    </row>
    <row r="147" spans="5:27" x14ac:dyDescent="0.25">
      <c r="Y147" s="31"/>
    </row>
    <row r="148" spans="5:27" x14ac:dyDescent="0.25">
      <c r="Y148" s="31"/>
    </row>
    <row r="149" spans="5:27" x14ac:dyDescent="0.25">
      <c r="V149" s="26"/>
      <c r="W149" s="24"/>
      <c r="Y149" s="31"/>
    </row>
    <row r="150" spans="5:27" x14ac:dyDescent="0.25">
      <c r="Y150" s="31"/>
    </row>
    <row r="151" spans="5:27" x14ac:dyDescent="0.25">
      <c r="Y151" s="31"/>
    </row>
    <row r="152" spans="5:27" x14ac:dyDescent="0.25">
      <c r="Y152" s="31"/>
      <c r="AA152" s="30"/>
    </row>
    <row r="153" spans="5:27" x14ac:dyDescent="0.25">
      <c r="Y153" s="31"/>
    </row>
    <row r="154" spans="5:27" x14ac:dyDescent="0.25">
      <c r="Y154" s="31"/>
    </row>
    <row r="155" spans="5:27" x14ac:dyDescent="0.25">
      <c r="E155" s="1"/>
      <c r="Y155" s="31"/>
    </row>
    <row r="156" spans="5:27" x14ac:dyDescent="0.25">
      <c r="Y156" s="31"/>
    </row>
    <row r="157" spans="5:27" x14ac:dyDescent="0.25">
      <c r="V157" s="49"/>
      <c r="Y157" s="31"/>
    </row>
    <row r="158" spans="5:27" x14ac:dyDescent="0.25">
      <c r="Y158" s="31"/>
    </row>
    <row r="159" spans="5:27" x14ac:dyDescent="0.25">
      <c r="Y159" s="31"/>
    </row>
    <row r="160" spans="5:27" x14ac:dyDescent="0.25">
      <c r="Y160" s="31"/>
    </row>
    <row r="161" spans="5:27" x14ac:dyDescent="0.25">
      <c r="E161" s="1"/>
      <c r="Y161" s="31"/>
    </row>
    <row r="162" spans="5:27" x14ac:dyDescent="0.25">
      <c r="Y162" s="31"/>
    </row>
    <row r="163" spans="5:27" x14ac:dyDescent="0.25">
      <c r="Y163" s="31"/>
    </row>
    <row r="164" spans="5:27" x14ac:dyDescent="0.25">
      <c r="Y164" s="31"/>
    </row>
    <row r="165" spans="5:27" x14ac:dyDescent="0.25">
      <c r="Y165" s="31"/>
    </row>
    <row r="166" spans="5:27" x14ac:dyDescent="0.25">
      <c r="Y166" s="31"/>
    </row>
    <row r="167" spans="5:27" x14ac:dyDescent="0.25">
      <c r="Y167" s="31"/>
    </row>
    <row r="168" spans="5:27" x14ac:dyDescent="0.25">
      <c r="Y168" s="31"/>
    </row>
    <row r="169" spans="5:27" x14ac:dyDescent="0.25">
      <c r="Y169" s="31"/>
    </row>
    <row r="170" spans="5:27" x14ac:dyDescent="0.25">
      <c r="V170" s="26"/>
      <c r="W170" s="24"/>
      <c r="Y170" s="31"/>
    </row>
    <row r="171" spans="5:27" x14ac:dyDescent="0.25">
      <c r="Y171" s="31"/>
    </row>
    <row r="172" spans="5:27" x14ac:dyDescent="0.25">
      <c r="Y172" s="31"/>
    </row>
    <row r="173" spans="5:27" x14ac:dyDescent="0.25">
      <c r="Y173" s="31"/>
      <c r="AA173" s="30"/>
    </row>
    <row r="174" spans="5:27" x14ac:dyDescent="0.25">
      <c r="Y174" s="31"/>
    </row>
    <row r="175" spans="5:27" x14ac:dyDescent="0.25">
      <c r="Y175" s="31"/>
    </row>
    <row r="176" spans="5:27" x14ac:dyDescent="0.25">
      <c r="E176" s="1"/>
      <c r="Y176" s="31"/>
    </row>
    <row r="177" spans="2:25" x14ac:dyDescent="0.25">
      <c r="B177" s="1" t="s">
        <v>706</v>
      </c>
      <c r="C177" s="1" t="s">
        <v>167</v>
      </c>
      <c r="D177" s="2">
        <v>4</v>
      </c>
      <c r="E177" s="2" t="s">
        <v>17</v>
      </c>
      <c r="F177" s="2">
        <v>2</v>
      </c>
      <c r="R177" s="21" t="s">
        <v>719</v>
      </c>
      <c r="U177" s="42" t="s">
        <v>719</v>
      </c>
    </row>
    <row r="178" spans="2:25" x14ac:dyDescent="0.25">
      <c r="V178" s="49"/>
      <c r="Y178" s="31"/>
    </row>
    <row r="179" spans="2:25" x14ac:dyDescent="0.25">
      <c r="Y179" s="31"/>
    </row>
    <row r="180" spans="2:25" x14ac:dyDescent="0.25">
      <c r="Y180" s="31"/>
    </row>
    <row r="181" spans="2:25" x14ac:dyDescent="0.25">
      <c r="Y181" s="31"/>
    </row>
    <row r="182" spans="2:25" x14ac:dyDescent="0.25">
      <c r="E182" s="1"/>
      <c r="Y182" s="31"/>
    </row>
    <row r="183" spans="2:25" x14ac:dyDescent="0.25">
      <c r="Y183" s="31"/>
    </row>
    <row r="184" spans="2:25" x14ac:dyDescent="0.25">
      <c r="Y184" s="31"/>
    </row>
    <row r="185" spans="2:25" x14ac:dyDescent="0.25">
      <c r="Y185" s="31"/>
    </row>
    <row r="186" spans="2:25" x14ac:dyDescent="0.25">
      <c r="Y186" s="31"/>
    </row>
    <row r="187" spans="2:25" x14ac:dyDescent="0.25">
      <c r="Y187" s="31"/>
    </row>
    <row r="188" spans="2:25" x14ac:dyDescent="0.25">
      <c r="Y188" s="31"/>
    </row>
    <row r="189" spans="2:25" x14ac:dyDescent="0.25">
      <c r="Y189" s="31"/>
    </row>
    <row r="190" spans="2:25" x14ac:dyDescent="0.25">
      <c r="Y190" s="31"/>
    </row>
    <row r="191" spans="2:25" x14ac:dyDescent="0.25">
      <c r="V191" s="26"/>
      <c r="W191" s="24"/>
      <c r="Y191" s="31"/>
    </row>
    <row r="192" spans="2:25" x14ac:dyDescent="0.25">
      <c r="Y192" s="31"/>
    </row>
    <row r="193" spans="5:27" x14ac:dyDescent="0.25">
      <c r="Y193" s="31"/>
    </row>
    <row r="194" spans="5:27" x14ac:dyDescent="0.25">
      <c r="Y194" s="31"/>
      <c r="AA194" s="30"/>
    </row>
    <row r="195" spans="5:27" x14ac:dyDescent="0.25">
      <c r="Y195" s="31"/>
    </row>
    <row r="196" spans="5:27" x14ac:dyDescent="0.25">
      <c r="Y196" s="31"/>
    </row>
    <row r="197" spans="5:27" x14ac:dyDescent="0.25">
      <c r="E197" s="1"/>
      <c r="Y197" s="31"/>
    </row>
    <row r="198" spans="5:27" x14ac:dyDescent="0.25">
      <c r="Y198" s="31"/>
    </row>
    <row r="199" spans="5:27" x14ac:dyDescent="0.25">
      <c r="V199" s="49"/>
      <c r="Y199" s="31"/>
    </row>
    <row r="200" spans="5:27" x14ac:dyDescent="0.25">
      <c r="Y200" s="3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24</xdr:col>
                <xdr:colOff>9525</xdr:colOff>
                <xdr:row>0</xdr:row>
                <xdr:rowOff>0</xdr:rowOff>
              </from>
              <to>
                <xdr:col>24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24</xdr:col>
                <xdr:colOff>304800</xdr:colOff>
                <xdr:row>0</xdr:row>
                <xdr:rowOff>0</xdr:rowOff>
              </from>
              <to>
                <xdr:col>24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5" r:id="rId7" name="CommandButton3">
          <controlPr defaultSize="0" autoLine="0" r:id="rId8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3075" r:id="rId7" name="CommandButton3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600075</xdr:colOff>
                <xdr:row>1</xdr:row>
                <xdr:rowOff>57150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7" r:id="rId11" name="CommandButton5">
          <controlPr defaultSize="0" autoLine="0" r:id="rId12">
            <anchor moveWithCells="1">
              <from>
                <xdr:col>21</xdr:col>
                <xdr:colOff>0</xdr:colOff>
                <xdr:row>0</xdr:row>
                <xdr:rowOff>0</xdr:rowOff>
              </from>
              <to>
                <xdr:col>21</xdr:col>
                <xdr:colOff>295275</xdr:colOff>
                <xdr:row>1</xdr:row>
                <xdr:rowOff>57150</xdr:rowOff>
              </to>
            </anchor>
          </controlPr>
        </control>
      </mc:Choice>
      <mc:Fallback>
        <control shapeId="3077" r:id="rId11" name="CommandButton5"/>
      </mc:Fallback>
    </mc:AlternateContent>
    <mc:AlternateContent xmlns:mc="http://schemas.openxmlformats.org/markup-compatibility/2006">
      <mc:Choice Requires="x14">
        <control shapeId="3078" r:id="rId13" name="CommandButton6">
          <controlPr defaultSize="0" autoLine="0" r:id="rId14">
            <anchor moveWithCells="1">
              <from>
                <xdr:col>21</xdr:col>
                <xdr:colOff>295275</xdr:colOff>
                <xdr:row>0</xdr:row>
                <xdr:rowOff>0</xdr:rowOff>
              </from>
              <to>
                <xdr:col>21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3078" r:id="rId13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1:E41"/>
  <sheetViews>
    <sheetView tabSelected="1" topLeftCell="A19" workbookViewId="0">
      <selection activeCell="B38" sqref="B38"/>
    </sheetView>
  </sheetViews>
  <sheetFormatPr defaultRowHeight="15" x14ac:dyDescent="0.25"/>
  <sheetData>
    <row r="31" spans="4:5" x14ac:dyDescent="0.25">
      <c r="D31" s="54" t="s">
        <v>738</v>
      </c>
      <c r="E31" s="54" t="s">
        <v>738</v>
      </c>
    </row>
    <row r="32" spans="4:5" x14ac:dyDescent="0.25">
      <c r="D32" s="54" t="s">
        <v>738</v>
      </c>
      <c r="E32" s="54" t="s">
        <v>738</v>
      </c>
    </row>
    <row r="33" spans="2:5" x14ac:dyDescent="0.25">
      <c r="D33" s="54" t="s">
        <v>739</v>
      </c>
      <c r="E33" s="54" t="s">
        <v>738</v>
      </c>
    </row>
    <row r="34" spans="2:5" x14ac:dyDescent="0.25">
      <c r="B34" t="s">
        <v>738</v>
      </c>
      <c r="D34" s="55" t="s">
        <v>738</v>
      </c>
      <c r="E34" s="55" t="s">
        <v>739</v>
      </c>
    </row>
    <row r="35" spans="2:5" x14ac:dyDescent="0.25">
      <c r="B35" t="s">
        <v>739</v>
      </c>
      <c r="D35" s="55" t="s">
        <v>738</v>
      </c>
      <c r="E35" s="55" t="s">
        <v>738</v>
      </c>
    </row>
    <row r="36" spans="2:5" x14ac:dyDescent="0.25">
      <c r="D36" s="55" t="s">
        <v>739</v>
      </c>
      <c r="E36" s="55" t="s">
        <v>738</v>
      </c>
    </row>
    <row r="37" spans="2:5" x14ac:dyDescent="0.25">
      <c r="D37" s="54" t="s">
        <v>738</v>
      </c>
      <c r="E37" s="54" t="s">
        <v>738</v>
      </c>
    </row>
    <row r="38" spans="2:5" x14ac:dyDescent="0.25">
      <c r="D38" s="54" t="s">
        <v>738</v>
      </c>
      <c r="E38" s="54" t="s">
        <v>738</v>
      </c>
    </row>
    <row r="39" spans="2:5" x14ac:dyDescent="0.25">
      <c r="D39" s="54" t="s">
        <v>738</v>
      </c>
      <c r="E39" s="54" t="s">
        <v>738</v>
      </c>
    </row>
    <row r="40" spans="2:5" x14ac:dyDescent="0.25">
      <c r="D40" s="54" t="s">
        <v>738</v>
      </c>
      <c r="E40" s="54" t="s">
        <v>738</v>
      </c>
    </row>
    <row r="41" spans="2:5" x14ac:dyDescent="0.25">
      <c r="D41" s="54" t="s">
        <v>738</v>
      </c>
      <c r="E41" s="54" t="s">
        <v>738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Техника</vt:lpstr>
      <vt:lpstr>Mana</vt:lpstr>
      <vt:lpstr>Feed</vt:lpstr>
      <vt:lpstr>Штабы</vt:lpstr>
      <vt:lpstr>Money</vt:lpstr>
      <vt:lpstr>Лист2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Senkov</dc:creator>
  <cp:lastModifiedBy>Sergey Senkov</cp:lastModifiedBy>
  <dcterms:created xsi:type="dcterms:W3CDTF">2013-09-20T11:10:19Z</dcterms:created>
  <dcterms:modified xsi:type="dcterms:W3CDTF">2013-11-22T12:39:51Z</dcterms:modified>
</cp:coreProperties>
</file>